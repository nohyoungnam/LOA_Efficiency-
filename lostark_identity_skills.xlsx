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ho\Downloads\"/>
    </mc:Choice>
  </mc:AlternateContent>
  <xr:revisionPtr revIDLastSave="0" documentId="13_ncr:1_{B0DBC449-C7DD-4D69-8553-09A68EE3E3D0}" xr6:coauthVersionLast="47" xr6:coauthVersionMax="47" xr10:uidLastSave="{00000000-0000-0000-0000-000000000000}"/>
  <bookViews>
    <workbookView xWindow="51480" yWindow="90" windowWidth="38640" windowHeight="21120" xr2:uid="{00000000-000D-0000-FFFF-FFFF00000000}"/>
  </bookViews>
  <sheets>
    <sheet name="아이덴티티스킬" sheetId="1" r:id="rId1"/>
    <sheet name="요약" sheetId="2" r:id="rId2"/>
    <sheet name="제외_주의" sheetId="3" r:id="rId3"/>
    <sheet name="기준_메모" sheetId="4" r:id="rId4"/>
  </sheets>
  <calcPr calcId="181029"/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<sst xmlns="http://schemas.openxmlformats.org/spreadsheetml/2006/main" count="786" uniqueCount="315">
  <si>
    <t>클래스</t>
  </si>
  <si>
    <t>직업/계열</t>
  </si>
  <si>
    <t>아이덴티티 스킬</t>
  </si>
  <si>
    <t>공격 타입</t>
  </si>
  <si>
    <t>조작/스킬 계열</t>
  </si>
  <si>
    <t>피해 여부</t>
  </si>
  <si>
    <t>포함 기준</t>
  </si>
  <si>
    <t>판정</t>
  </si>
  <si>
    <t>비고</t>
  </si>
  <si>
    <t>출처 URL</t>
  </si>
  <si>
    <t>확인일</t>
  </si>
  <si>
    <t>버서커</t>
  </si>
  <si>
    <t>광전사의 비기</t>
  </si>
  <si>
    <t>블러디 러쉬</t>
  </si>
  <si>
    <t>백어택</t>
  </si>
  <si>
    <t>일반 [폭주 스킬]</t>
  </si>
  <si>
    <t>피해</t>
  </si>
  <si>
    <t>폭주 상태 전용 아이덴티티 스킬</t>
  </si>
  <si>
    <t>확정</t>
  </si>
  <si>
    <t>인벤 DB에 백 어택 표기</t>
  </si>
  <si>
    <t>https://lostark.inven.co.kr/dataninfo/skill/?code=1614001</t>
  </si>
  <si>
    <t>2026-07-03</t>
  </si>
  <si>
    <t>광기</t>
  </si>
  <si>
    <t>다크 러쉬</t>
  </si>
  <si>
    <t>일반 [일반 스킬]</t>
  </si>
  <si>
    <t>광기 계열 대체 러쉬</t>
  </si>
  <si>
    <t>https://lostark.inven.co.kr/dataninfo/skill/?code=1614101</t>
  </si>
  <si>
    <t>디스트로이어</t>
  </si>
  <si>
    <t>중력 수련/공통</t>
  </si>
  <si>
    <t>볼텍스 그라비티</t>
  </si>
  <si>
    <t>헤드어택</t>
  </si>
  <si>
    <t>일반</t>
  </si>
  <si>
    <t>중력 가중 모드 특수 스킬</t>
  </si>
  <si>
    <t>인벤 DB에 헤드 어택 표기</t>
  </si>
  <si>
    <t>https://lostark.inven.co.kr/dataninfo/skill/?code=1801101</t>
  </si>
  <si>
    <t>슬레이어</t>
  </si>
  <si>
    <t>처단자/포식자</t>
  </si>
  <si>
    <t>블러드러스트</t>
  </si>
  <si>
    <t>폭주 아이덴티티 스킬</t>
  </si>
  <si>
    <t>인벤 DB에 백 어택 및 폭주 스킬 표기</t>
  </si>
  <si>
    <t>https://lostark.inven.co.kr/dataninfo/skill/?code=4500401</t>
  </si>
  <si>
    <t>발키리</t>
  </si>
  <si>
    <t>빛의 기사</t>
  </si>
  <si>
    <t>무방향</t>
  </si>
  <si>
    <t>피해+상태</t>
  </si>
  <si>
    <t>Z 아이덴티티</t>
  </si>
  <si>
    <t>스킬DB 목록 기준, 별도 백/헤드 표기 없음</t>
  </si>
  <si>
    <t>https://lostark.inven.co.kr/dataninfo/skill/?reqjob=113</t>
  </si>
  <si>
    <t>종언의 빛</t>
  </si>
  <si>
    <t>아이덴티티 게이지 소모</t>
  </si>
  <si>
    <t>스킬DB 기준, 별도 백/헤드 표기 없음</t>
  </si>
  <si>
    <t>https://lostark.inven.co.kr/dataninfo/skill/?code=4807001</t>
  </si>
  <si>
    <t>해방자</t>
  </si>
  <si>
    <t>빛의 해방</t>
  </si>
  <si>
    <t>피해+버프</t>
  </si>
  <si>
    <t>신념의 빛</t>
  </si>
  <si>
    <t>공격 타입 없음</t>
  </si>
  <si>
    <t>회복</t>
  </si>
  <si>
    <t>보조 아이덴티티</t>
  </si>
  <si>
    <t>회복형으로 직접 피해 타입 없음</t>
  </si>
  <si>
    <t>https://lostark.inven.co.kr/dataninfo/skill/?code=4805001</t>
  </si>
  <si>
    <t>기공사</t>
  </si>
  <si>
    <t>무상신공 계열</t>
  </si>
  <si>
    <t>무상신각</t>
  </si>
  <si>
    <t>공격 타입 미확인</t>
  </si>
  <si>
    <t>무상신공 초식</t>
  </si>
  <si>
    <t>2026-06-24 개편 후 아이덴티티 스킬</t>
  </si>
  <si>
    <t>주의</t>
  </si>
  <si>
    <t>공식 패치노트에서 명칭 확인. 개별 스킬DB 공격 타입은 확인 불가</t>
  </si>
  <si>
    <t>https://m-lostark.game.onstove.com/News/Notice/Views/13472</t>
  </si>
  <si>
    <t>무상신장</t>
  </si>
  <si>
    <t>무상신권</t>
  </si>
  <si>
    <t>공식 패치노트에서 명칭 확인. 무상신권 사용 시 진기 소모</t>
  </si>
  <si>
    <t>브레이커</t>
  </si>
  <si>
    <t>권왕파천무</t>
  </si>
  <si>
    <t>권왕십이식 : 낙화</t>
  </si>
  <si>
    <t>차지 [충격 스킬]</t>
  </si>
  <si>
    <t>권왕태세 아이덴티티 스킬</t>
  </si>
  <si>
    <t>스킬DB에 백/헤드 공격 타입 표기 없음</t>
  </si>
  <si>
    <t>https://lostark.inven.co.kr/dataninfo/skill/?code=4795001</t>
  </si>
  <si>
    <t>권왕십이식 : 풍랑</t>
  </si>
  <si>
    <t>https://lostark.inven.co.kr/dataninfo/skill/?code=4797001</t>
  </si>
  <si>
    <t>수라의 길</t>
  </si>
  <si>
    <t>수라결 기본 공격</t>
  </si>
  <si>
    <t>기본공격형 / 수라결</t>
  </si>
  <si>
    <t>수라결 상태 특수 공격</t>
  </si>
  <si>
    <t>개별 DB 페이지가 아니라 실전/검증글 기반. 중요한 계산에는 추가 확인 권장</t>
  </si>
  <si>
    <t>https://www.inven.co.kr/board/lostark/6155/21984</t>
  </si>
  <si>
    <t>블래스터</t>
  </si>
  <si>
    <t>포격 강화</t>
  </si>
  <si>
    <t>포격 : 곡사포</t>
  </si>
  <si>
    <t>지점 [포격 모드]</t>
  </si>
  <si>
    <t>포격 모드 전용 스킬</t>
  </si>
  <si>
    <t>https://lostark.inven.co.kr/dataninfo/skill/?code=3025001</t>
  </si>
  <si>
    <t>포격 : 집중포화</t>
  </si>
  <si>
    <t>홀딩 [포격 모드]</t>
  </si>
  <si>
    <t>https://lostark.inven.co.kr/dataninfo/skill/?code=3026001</t>
  </si>
  <si>
    <t>포격 : 에너지 포</t>
  </si>
  <si>
    <t>https://lostark.inven.co.kr/dataninfo/skill/?reqjob=504</t>
  </si>
  <si>
    <t>포격 : 스틸 레인</t>
  </si>
  <si>
    <t>https://lostark.inven.co.kr/dataninfo/skill/?code=3034001</t>
  </si>
  <si>
    <t>포격 : 절대 영역</t>
  </si>
  <si>
    <t>일반 [포격 모드]</t>
  </si>
  <si>
    <t>보호막</t>
  </si>
  <si>
    <t>직접 피해 없는 보호막형</t>
  </si>
  <si>
    <t>https://lostark.inven.co.kr/dataninfo/skill/?code=3029001</t>
  </si>
  <si>
    <t>호크아이</t>
  </si>
  <si>
    <t>죽음의 습격/두 번째 동료</t>
  </si>
  <si>
    <t>폭풍의 날개</t>
  </si>
  <si>
    <t>지점 [실버호크]</t>
  </si>
  <si>
    <t>실버호크 아이덴티티 스킬</t>
  </si>
  <si>
    <t>https://lostark.inven.co.kr/dataninfo/skill/?code=2816001</t>
  </si>
  <si>
    <t>최후의 습격</t>
  </si>
  <si>
    <t>일반 [실버호크]</t>
  </si>
  <si>
    <t>https://lostark.inven.co.kr/dataninfo/skill/?code=2817001</t>
  </si>
  <si>
    <t>실버호크 강습</t>
  </si>
  <si>
    <t>실버호크/아크패시브 추가 스킬</t>
  </si>
  <si>
    <t>https://lostark.inven.co.kr/dataninfo/skill/?reqjob=502</t>
  </si>
  <si>
    <t>스카우터</t>
  </si>
  <si>
    <t>진화의 유산</t>
  </si>
  <si>
    <t>코멧 스트라이크</t>
  </si>
  <si>
    <t>일반 [하이퍼 싱크 스킬]</t>
  </si>
  <si>
    <t>하이퍼 싱크 변신 스킬</t>
  </si>
  <si>
    <t>https://lostark.inven.co.kr/dataninfo/skill/?reqjob=505</t>
  </si>
  <si>
    <t>슬러그 샷</t>
  </si>
  <si>
    <t>https://lostark.inven.co.kr/dataninfo/skill/?code=3576001</t>
  </si>
  <si>
    <t>레이저 블레이드</t>
  </si>
  <si>
    <t>엑셀리온 빔</t>
  </si>
  <si>
    <t>버스트 블로우</t>
  </si>
  <si>
    <t>일반 [싱크 스킬]</t>
  </si>
  <si>
    <t>https://lostark.inven.co.kr/dataninfo/skill/?code=3579001</t>
  </si>
  <si>
    <t>크림슨 브레이커</t>
  </si>
  <si>
    <t>https://lostark.inven.co.kr/dataninfo/skill/?code=3580001</t>
  </si>
  <si>
    <t>소닉 임팩트</t>
  </si>
  <si>
    <t>제로 싱크 스킬</t>
  </si>
  <si>
    <t>아크패시브/하이퍼 싱크 추가 스킬</t>
  </si>
  <si>
    <t>공식 패치노트에서 제로 싱크 스킬명 확인. 개별 DB 공격 타입은 확인 불가</t>
  </si>
  <si>
    <t>https://m-lostark.game.onstove.com/News/Notice/Views/13369</t>
  </si>
  <si>
    <t>퀀텀 어셈블리 빔</t>
  </si>
  <si>
    <t>EX - 제로 포인트</t>
  </si>
  <si>
    <t>서머너</t>
  </si>
  <si>
    <t>상급 소환사/넘치는 교감</t>
  </si>
  <si>
    <t>오쉬</t>
  </si>
  <si>
    <t>고대의 정령</t>
  </si>
  <si>
    <t>고대 정령 아이덴티티 스킬</t>
  </si>
  <si>
    <t>https://lostark.inven.co.kr/dataninfo/skill/?reqjob=203</t>
  </si>
  <si>
    <t>알리마지</t>
  </si>
  <si>
    <t>피닉스</t>
  </si>
  <si>
    <t>일반 [고대의 정령]</t>
  </si>
  <si>
    <t>자히아&amp;리게아스</t>
  </si>
  <si>
    <t>아키르</t>
  </si>
  <si>
    <t>지점 [고대의 정령]</t>
  </si>
  <si>
    <t>https://lostark.inven.co.kr/dataninfo/skill/?code=2031001</t>
  </si>
  <si>
    <t>상급 소환사 중심</t>
  </si>
  <si>
    <t>아키르 폭주</t>
  </si>
  <si>
    <t>버프/강화</t>
  </si>
  <si>
    <t>고대 정령 강화</t>
  </si>
  <si>
    <t>직접 피해 스킬이 아니라 아키르 강화형</t>
  </si>
  <si>
    <t>https://lostark.inven.co.kr/dataninfo/skill/?code=2031201</t>
  </si>
  <si>
    <t>아르카나</t>
  </si>
  <si>
    <t>황제/황후</t>
  </si>
  <si>
    <t>황제</t>
  </si>
  <si>
    <t>아이덴티티 카드</t>
  </si>
  <si>
    <t>카드 덱 아이덴티티 피해 카드</t>
  </si>
  <si>
    <t>아이덴티티 카드 중 직접 피해 카드. 별도 백/헤드 표기 없음</t>
  </si>
  <si>
    <t>https://lostark.inven.co.kr/dataninfo/skill/?reqjob=202</t>
  </si>
  <si>
    <t>황후의 기사</t>
  </si>
  <si>
    <t>블레이드</t>
  </si>
  <si>
    <t>버스트/잔재 공통</t>
  </si>
  <si>
    <t>블레이드 버스트</t>
  </si>
  <si>
    <t>아츠 스킬</t>
  </si>
  <si>
    <t>블레이드 아츠 마무리 스킬</t>
  </si>
  <si>
    <t>직접 DB 공격타입 페이지 확인 실패. 커뮤니티/공략상 백어택 운용 기준</t>
  </si>
  <si>
    <t>https://www.inven.co.kr/board/lostark/5497/72325</t>
  </si>
  <si>
    <t>데모닉</t>
  </si>
  <si>
    <t>멈출 수 없는 충동</t>
  </si>
  <si>
    <t>루인 러쉬</t>
  </si>
  <si>
    <t>일반 [악마 스킬]</t>
  </si>
  <si>
    <t>악마화 변신 스킬</t>
  </si>
  <si>
    <t>https://lostark.inven.co.kr/dataninfo/skill/?reqjob=403</t>
  </si>
  <si>
    <t>데스 클로</t>
  </si>
  <si>
    <t>https://lostark.inven.co.kr/dataninfo/skill/?code=2782001</t>
  </si>
  <si>
    <t>디스트럭션</t>
  </si>
  <si>
    <t>고어 블리딩</t>
  </si>
  <si>
    <t>리프 블로우</t>
  </si>
  <si>
    <t>블러드 매서커</t>
  </si>
  <si>
    <t>https://lostark.inven.co.kr/dataninfo/skill/?code=2786001</t>
  </si>
  <si>
    <t>기상술사</t>
  </si>
  <si>
    <t>이슬비/질풍노도</t>
  </si>
  <si>
    <t>여우비</t>
  </si>
  <si>
    <t>아이덴티티 장판/지속 피해</t>
  </si>
  <si>
    <t>피해+방어지원</t>
  </si>
  <si>
    <t>직접 위치 타입 없음. 백/헤드 공격 타입 없음</t>
  </si>
  <si>
    <t>https://www.inven.co.kr/webzine/news/?news=273764&amp;site=lostark</t>
  </si>
  <si>
    <t>이슬비 중심</t>
  </si>
  <si>
    <t>눈부신 나날들</t>
  </si>
  <si>
    <t>일반 [기상 스킬]</t>
  </si>
  <si>
    <t>아크패시브 추가 스킬</t>
  </si>
  <si>
    <t>여우비 ON 조건 추가 스킬. 일반 스킬 슬롯 여부는 별도 확인 필요</t>
  </si>
  <si>
    <t>https://lostark.inven.co.kr/dataninfo/skill/?code=3234001</t>
  </si>
  <si>
    <t>환수사</t>
  </si>
  <si>
    <t>야성</t>
  </si>
  <si>
    <t>금술 : 찢 곰</t>
  </si>
  <si>
    <t>일반 [둔갑 스킬]</t>
  </si>
  <si>
    <t>아이덴티티 자원/금술</t>
  </si>
  <si>
    <t>일반 둔갑 8종은 제외. 금술은 아이덴티티 자원 기반 특수 스킬로 분리</t>
  </si>
  <si>
    <t>https://lostark.inven.co.kr/dataninfo/skill/?reqjob=604</t>
  </si>
  <si>
    <t>금술 : 여우 별 소나기</t>
  </si>
  <si>
    <t>환수 각성</t>
  </si>
  <si>
    <t>상태 전환</t>
  </si>
  <si>
    <t>버프/상태</t>
  </si>
  <si>
    <t>직접 피해 없음</t>
  </si>
  <si>
    <t>가디언나이트</t>
  </si>
  <si>
    <t>드레드 로어</t>
  </si>
  <si>
    <t>가디언 피어</t>
  </si>
  <si>
    <t>피해+보호</t>
  </si>
  <si>
    <t>엠버레스 오브 소모 스킬</t>
  </si>
  <si>
    <t>https://lostark.inven.co.kr/dataninfo/skill/?code=4935001</t>
  </si>
  <si>
    <t>가디언 스케일</t>
  </si>
  <si>
    <t>https://lostark.inven.co.kr/dataninfo/skill/?reqjob=611</t>
  </si>
  <si>
    <t>업화의 계승자</t>
  </si>
  <si>
    <t>화신화</t>
  </si>
  <si>
    <t>변신 상태</t>
  </si>
  <si>
    <t>발현 스킬을 화신 스킬로 전환하는 상태</t>
  </si>
  <si>
    <t>https://www.inven.co.kr/webzine/news/?news=312009&amp;site=lostark</t>
  </si>
  <si>
    <t>인페르노 버스트</t>
  </si>
  <si>
    <t>화신 상태 연계 스킬</t>
  </si>
  <si>
    <t>스킬DB 목록 확인. 개별 공격 타입은 추가 확인 권장</t>
  </si>
  <si>
    <t>구분</t>
  </si>
  <si>
    <t>값</t>
  </si>
  <si>
    <t>총 항목 수</t>
  </si>
  <si>
    <t>확정 항목</t>
  </si>
  <si>
    <t>주의 항목</t>
  </si>
  <si>
    <t>항목</t>
  </si>
  <si>
    <t>제외/주의 이유</t>
  </si>
  <si>
    <t>여우 꼬리물기</t>
  </si>
  <si>
    <t>제외</t>
  </si>
  <si>
    <t>일반 스킬 슬롯에 들어가는 둔갑 스킬. 자원으로 환수의 기운을 쓰지만 아이덴티티 전용 버튼으로 보지 않음</t>
  </si>
  <si>
    <t>https://lostark.inven.co.kr/dataninfo/skill/?code=3331001</t>
  </si>
  <si>
    <t>여우 불꽃</t>
  </si>
  <si>
    <t>일반 스킬 슬롯에 들어가는 둔갑 스킬</t>
  </si>
  <si>
    <t>여우 구슬</t>
  </si>
  <si>
    <t>여우 폴짝</t>
  </si>
  <si>
    <t>슈웅 곰</t>
  </si>
  <si>
    <t>뒤집 곰</t>
  </si>
  <si>
    <t>어흥 곰</t>
  </si>
  <si>
    <t>바위 곰</t>
  </si>
  <si>
    <t>워로드</t>
  </si>
  <si>
    <t>방어 태세 / 전장의 방패</t>
  </si>
  <si>
    <t>직접 피해형 아이덴티티 스킬이 아니라 방어/보호 계열</t>
  </si>
  <si>
    <t>https://lostark.inven.co.kr/dataninfo/skill/?reqjob=101</t>
  </si>
  <si>
    <t>홀리나이트</t>
  </si>
  <si>
    <t>신의 집행자 / 신성의 오라</t>
  </si>
  <si>
    <t>아이덴티티는 버프/상태형. 직접 백/헤드 공격 타입 판정 대상 아님</t>
  </si>
  <si>
    <t>https://lostark.inven.co.kr/dataninfo/skill/?reqjob=104</t>
  </si>
  <si>
    <t>배틀마스터</t>
  </si>
  <si>
    <t>엘리멘탈 버블</t>
  </si>
  <si>
    <t>자원형 아이덴티티. 오의 스킬은 일반 스킬별 공격 타입으로 따로 봐야 함</t>
  </si>
  <si>
    <t>https://lostark.inven.co.kr/dataninfo/skill/?reqjob=301</t>
  </si>
  <si>
    <t>인파이터</t>
  </si>
  <si>
    <t>기력/충격 에너지</t>
  </si>
  <si>
    <t>자원형 구조. 직접 아이덴티티 피해 스킬 없음</t>
  </si>
  <si>
    <t>https://lostark.inven.co.kr/dataninfo/skill/?reqjob=302</t>
  </si>
  <si>
    <t>창술사</t>
  </si>
  <si>
    <t>스탠스 변경</t>
  </si>
  <si>
    <t>스탠스/버프형 아이덴티티. 개별 난무/집중 스킬 타입으로 따로 봐야 함</t>
  </si>
  <si>
    <t>https://lostark.inven.co.kr/dataninfo/skill/?reqjob=304</t>
  </si>
  <si>
    <t>스트라이커</t>
  </si>
  <si>
    <t>https://lostark.inven.co.kr/dataninfo/skill/?reqjob=305</t>
  </si>
  <si>
    <t>데빌헌터</t>
  </si>
  <si>
    <t>퀵 스탠스</t>
  </si>
  <si>
    <t>무기 스탠스형. 직접 아이덴티티 피해 스킬 없음</t>
  </si>
  <si>
    <t>https://lostark.inven.co.kr/dataninfo/skill/?reqjob=501</t>
  </si>
  <si>
    <t>건슬링어</t>
  </si>
  <si>
    <t>https://lostark.inven.co.kr/dataninfo/skill/?reqjob=512</t>
  </si>
  <si>
    <t>바드</t>
  </si>
  <si>
    <t>세레나데</t>
  </si>
  <si>
    <t>버프/회복형 아이덴티티. 직접 백/헤드 공격 타입 판정 대상 아님</t>
  </si>
  <si>
    <t>https://lostark.inven.co.kr/dataninfo/skill/?reqjob=204</t>
  </si>
  <si>
    <t>소서리스</t>
  </si>
  <si>
    <t>마력 해방 / 점멸</t>
  </si>
  <si>
    <t>버프/이동형 아이덴티티. 직접 백/헤드 공격 타입 판정 대상 아님</t>
  </si>
  <si>
    <t>https://lostark.inven.co.kr/dataninfo/skill/?reqjob=205</t>
  </si>
  <si>
    <t>리퍼</t>
  </si>
  <si>
    <t>페르소나 / 혼돈</t>
  </si>
  <si>
    <t>상태/버프형 아이덴티티. 급습 스킬은 일반 스킬별 타입으로 봐야 함</t>
  </si>
  <si>
    <t>https://lostark.inven.co.kr/dataninfo/skill/?reqjob=404</t>
  </si>
  <si>
    <t>소울이터</t>
  </si>
  <si>
    <t>영혼석 / 사신화</t>
  </si>
  <si>
    <t>자원/상태형. 사신 스킬은 일반 스킬별 공격 타입으로 따로 봐야 함</t>
  </si>
  <si>
    <t>https://lostark.inven.co.kr/dataninfo/skill/?reqjob=405</t>
  </si>
  <si>
    <t>도화가</t>
  </si>
  <si>
    <t>저무는 달 / 떠오르는 해</t>
  </si>
  <si>
    <t>https://lostark.inven.co.kr/dataninfo/skill/?reqjob=602</t>
  </si>
  <si>
    <t>차원술사</t>
  </si>
  <si>
    <t>시간 관리자 / 공간 검사</t>
  </si>
  <si>
    <t>출시 예정</t>
  </si>
  <si>
    <t>2026-07-08 출시 예정으로, 현재 날짜 기준 정식 스킬DB 기반 공격 타입 확정 불가</t>
  </si>
  <si>
    <t>https://www.gamemeca.com/view.php?gid=1776780</t>
  </si>
  <si>
    <t>내용</t>
  </si>
  <si>
    <t>작성 기준</t>
  </si>
  <si>
    <t>일반 스킬 슬롯에 세팅하는 스킬은 제외하고, Z/X/변신/특수 상태/아이덴티티 자원 전용으로 쓰는 스킬만 모음</t>
  </si>
  <si>
    <t>공격 타입 판정</t>
  </si>
  <si>
    <t>인벤 스킬DB에 백 어택/헤드 어택이 있으면 그대로 표기. 표기가 없으면 무방향으로 분류</t>
  </si>
  <si>
    <t>회복, 보호막, 상태 전환처럼 직접 피해 판정이 없는 항목</t>
  </si>
  <si>
    <t>공식 패치노트에서 아이덴티티 스킬명은 확인했지만, 개별 스킬DB의 백/헤드 여부를 확인하지 못한 항목</t>
  </si>
  <si>
    <t>계산용으로 쓰기 전에 게임 내 툴팁/인게임 전투분석기로 한 번 더 검증하는 것을 권장</t>
  </si>
  <si>
    <t>제외한 것</t>
  </si>
  <si>
    <t>각성기, 초각성기, 일반 스킬 슬롯 스킬, 단순 자원/버프 아이덴티티</t>
  </si>
  <si>
    <t>환수사 처리</t>
  </si>
  <si>
    <t>여우/곰 둔갑 8종은 일반 스킬로 제외. 금술 2종은 아이덴티티 자원 기반 특수 스킬로 주의 포함</t>
  </si>
  <si>
    <t>기공사 처리</t>
  </si>
  <si>
    <t>2026-06-24 패치로 무상신공이 추가되어 무상신각/무상신장/무상신권을 주의 포함</t>
  </si>
  <si>
    <t>차원술사 처리</t>
  </si>
  <si>
    <t>2026-07-03 기준 출시 전이라 본표에서 제외하고 제외_주의 시트에 출시 예정으로 기록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</si>
</sst>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/>
    </xf>
    <xf numFmtId="0" fontId="1" fillId="3" borderId="0" xfId="1" applyFont="1" applyFill="1" applyAlignment="1">
      <alignment horizontal="center" wrapText="1"/>
    </xf>
    <xf numFmtId="0" fontId="1" fillId="4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표준" xfId="0" builtinId="0"/>
  </cellStyles>
  <dxfs count="4"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dentitySkillsTable" displayName="IdentitySkillsTable" ref="A1:K56">
  <tableColumns count="11">
    <tableColumn id="1" xr3:uid="{00000000-0010-0000-0000-000001000000}" name="클래스"/>
    <tableColumn id="2" xr3:uid="{00000000-0010-0000-0000-000002000000}" name="직업/계열"/>
    <tableColumn id="3" xr3:uid="{00000000-0010-0000-0000-000003000000}" name="아이덴티티 스킬"/>
    <tableColumn id="4" xr3:uid="{00000000-0010-0000-0000-000004000000}" name="공격 타입"/>
    <tableColumn id="5" xr3:uid="{00000000-0010-0000-0000-000005000000}" name="조작/스킬 계열"/>
    <tableColumn id="6" xr3:uid="{00000000-0010-0000-0000-000006000000}" name="피해 여부"/>
    <tableColumn id="7" xr3:uid="{00000000-0010-0000-0000-000007000000}" name="포함 기준"/>
    <tableColumn id="8" xr3:uid="{00000000-0010-0000-0000-000008000000}" name="판정"/>
    <tableColumn id="9" xr3:uid="{00000000-0010-0000-0000-000009000000}" name="비고"/>
    <tableColumn id="10" xr3:uid="{00000000-0010-0000-0000-00000A000000}" name="출처 URL"/>
    <tableColumn id="11" xr3:uid="{00000000-0010-0000-0000-00000B000000}" name="확인일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1:B9">
  <tableColumns count="2">
    <tableColumn id="1" xr3:uid="{00000000-0010-0000-0100-000001000000}" name="구분"/>
    <tableColumn id="2" xr3:uid="{00000000-0010-0000-0100-000002000000}" name="값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cludedNotesTable" displayName="ExcludedNotesTable" ref="A1:F23">
  <tableColumns count="6">
    <tableColumn id="1" xr3:uid="{00000000-0010-0000-0200-000001000000}" name="클래스"/>
    <tableColumn id="2" xr3:uid="{00000000-0010-0000-0200-000002000000}" name="항목"/>
    <tableColumn id="3" xr3:uid="{00000000-0010-0000-0200-000003000000}" name="구분"/>
    <tableColumn id="4" xr3:uid="{00000000-0010-0000-0200-000004000000}" name="제외/주의 이유"/>
    <tableColumn id="5" xr3:uid="{00000000-0010-0000-0200-000005000000}" name="출처 URL"/>
    <tableColumn id="6" xr3:uid="{00000000-0010-0000-0200-000006000000}" name="확인일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riteriaTable" displayName="CriteriaTable" ref="A1:B11">
  <tableColumns count="2">
    <tableColumn id="1" xr3:uid="{00000000-0010-0000-0300-000001000000}" name="항목"/>
    <tableColumn id="2" xr3:uid="{00000000-0010-0000-0300-000002000000}" name="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selection activeCell="E37" sqref="E37"/>
    </sheetView>
  </sheetViews>
  <sheetFormatPr defaultRowHeight="14.25"/>
  <cols>
    <col min="1" max="1" width="14" customWidth="1"/>
    <col min="2" max="2" width="18" customWidth="1"/>
    <col min="3" max="3" width="24" customWidth="1"/>
    <col min="4" max="4" width="16" customWidth="1"/>
    <col min="5" max="5" width="24" customWidth="1"/>
    <col min="6" max="6" width="12" customWidth="1"/>
    <col min="7" max="7" width="26" customWidth="1"/>
    <col min="8" max="8" width="10" customWidth="1"/>
    <col min="9" max="10" width="48" customWidth="1"/>
    <col min="11" max="11" width="12" customWidth="1"/>
  </cols>
  <sheetData>
    <row r="1" spans="1:11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ht="15" customHeight="1">
      <c r="A3" s="3" t="s">
        <v>11</v>
      </c>
      <c r="B3" s="3" t="s">
        <v>22</v>
      </c>
      <c r="C3" s="3" t="s">
        <v>23</v>
      </c>
      <c r="D3" s="3" t="s">
        <v>14</v>
      </c>
      <c r="E3" s="3" t="s">
        <v>24</v>
      </c>
      <c r="F3" s="3" t="s">
        <v>16</v>
      </c>
      <c r="G3" s="3" t="s">
        <v>25</v>
      </c>
      <c r="H3" s="3" t="s">
        <v>18</v>
      </c>
      <c r="I3" s="3" t="s">
        <v>19</v>
      </c>
      <c r="J3" s="3" t="s">
        <v>26</v>
      </c>
      <c r="K3" s="3" t="s">
        <v>21</v>
      </c>
    </row>
    <row r="4" spans="1:11" ht="15" customHeight="1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16</v>
      </c>
      <c r="G4" s="3" t="s">
        <v>32</v>
      </c>
      <c r="H4" s="3" t="s">
        <v>18</v>
      </c>
      <c r="I4" s="3" t="s">
        <v>33</v>
      </c>
      <c r="J4" s="3" t="s">
        <v>34</v>
      </c>
      <c r="K4" s="3" t="s">
        <v>21</v>
      </c>
    </row>
    <row r="5" spans="1:11" ht="15" customHeight="1">
      <c r="A5" s="3" t="s">
        <v>35</v>
      </c>
      <c r="B5" s="3" t="s">
        <v>36</v>
      </c>
      <c r="C5" s="3" t="s">
        <v>37</v>
      </c>
      <c r="D5" s="3" t="s">
        <v>14</v>
      </c>
      <c r="E5" s="3" t="s">
        <v>15</v>
      </c>
      <c r="F5" s="3" t="s">
        <v>16</v>
      </c>
      <c r="G5" s="3" t="s">
        <v>38</v>
      </c>
      <c r="H5" s="3" t="s">
        <v>18</v>
      </c>
      <c r="I5" s="3" t="s">
        <v>39</v>
      </c>
      <c r="J5" s="3" t="s">
        <v>40</v>
      </c>
      <c r="K5" s="3" t="s">
        <v>21</v>
      </c>
    </row>
    <row r="6" spans="1:11" ht="15" customHeight="1">
      <c r="A6" s="3" t="s">
        <v>41</v>
      </c>
      <c r="B6" s="3" t="s">
        <v>42</v>
      </c>
      <c r="C6" s="3" t="s">
        <v>42</v>
      </c>
      <c r="D6" s="3" t="s">
        <v>43</v>
      </c>
      <c r="E6" s="3" t="s">
        <v>31</v>
      </c>
      <c r="F6" s="3" t="s">
        <v>44</v>
      </c>
      <c r="G6" s="3" t="s">
        <v>45</v>
      </c>
      <c r="H6" s="3" t="s">
        <v>18</v>
      </c>
      <c r="I6" s="3" t="s">
        <v>46</v>
      </c>
      <c r="J6" s="3" t="s">
        <v>47</v>
      </c>
      <c r="K6" s="3" t="s">
        <v>21</v>
      </c>
    </row>
    <row r="7" spans="1:11" ht="15" customHeight="1">
      <c r="A7" s="3" t="s">
        <v>41</v>
      </c>
      <c r="B7" s="3" t="s">
        <v>42</v>
      </c>
      <c r="C7" s="3" t="s">
        <v>48</v>
      </c>
      <c r="D7" s="3" t="s">
        <v>43</v>
      </c>
      <c r="E7" s="3" t="s">
        <v>31</v>
      </c>
      <c r="F7" s="3" t="s">
        <v>16</v>
      </c>
      <c r="G7" s="3" t="s">
        <v>49</v>
      </c>
      <c r="H7" s="3" t="s">
        <v>18</v>
      </c>
      <c r="I7" s="3" t="s">
        <v>50</v>
      </c>
      <c r="J7" s="3" t="s">
        <v>51</v>
      </c>
      <c r="K7" s="3" t="s">
        <v>21</v>
      </c>
    </row>
    <row r="8" spans="1:11" ht="15" customHeight="1">
      <c r="A8" s="3" t="s">
        <v>41</v>
      </c>
      <c r="B8" s="3" t="s">
        <v>52</v>
      </c>
      <c r="C8" s="3" t="s">
        <v>53</v>
      </c>
      <c r="D8" s="3" t="s">
        <v>43</v>
      </c>
      <c r="E8" s="3" t="s">
        <v>31</v>
      </c>
      <c r="F8" s="3" t="s">
        <v>54</v>
      </c>
      <c r="G8" s="3" t="s">
        <v>45</v>
      </c>
      <c r="H8" s="3" t="s">
        <v>18</v>
      </c>
      <c r="I8" s="3" t="s">
        <v>46</v>
      </c>
      <c r="J8" s="3" t="s">
        <v>47</v>
      </c>
      <c r="K8" s="3" t="s">
        <v>21</v>
      </c>
    </row>
    <row r="9" spans="1:11" ht="15" customHeight="1">
      <c r="A9" s="3" t="s">
        <v>41</v>
      </c>
      <c r="B9" s="3" t="s">
        <v>52</v>
      </c>
      <c r="C9" s="3" t="s">
        <v>55</v>
      </c>
      <c r="D9" s="3" t="s">
        <v>56</v>
      </c>
      <c r="E9" s="3" t="s">
        <v>31</v>
      </c>
      <c r="F9" s="3" t="s">
        <v>57</v>
      </c>
      <c r="G9" s="3" t="s">
        <v>58</v>
      </c>
      <c r="H9" s="3" t="s">
        <v>18</v>
      </c>
      <c r="I9" s="3" t="s">
        <v>59</v>
      </c>
      <c r="J9" s="3" t="s">
        <v>60</v>
      </c>
      <c r="K9" s="3" t="s">
        <v>21</v>
      </c>
    </row>
    <row r="10" spans="1:11" ht="26.45" customHeight="1">
      <c r="A10" s="3" t="s">
        <v>61</v>
      </c>
      <c r="B10" s="3" t="s">
        <v>62</v>
      </c>
      <c r="C10" s="3" t="s">
        <v>63</v>
      </c>
      <c r="D10" s="3" t="s">
        <v>43</v>
      </c>
      <c r="E10" s="3" t="s">
        <v>65</v>
      </c>
      <c r="F10" s="3" t="s">
        <v>16</v>
      </c>
      <c r="G10" s="3" t="s">
        <v>66</v>
      </c>
      <c r="H10" s="3" t="s">
        <v>67</v>
      </c>
      <c r="I10" s="3" t="s">
        <v>68</v>
      </c>
      <c r="J10" s="3" t="s">
        <v>69</v>
      </c>
      <c r="K10" s="3" t="s">
        <v>21</v>
      </c>
    </row>
    <row r="11" spans="1:11" ht="26.45" customHeight="1">
      <c r="A11" s="3" t="s">
        <v>61</v>
      </c>
      <c r="B11" s="3" t="s">
        <v>62</v>
      </c>
      <c r="C11" s="3" t="s">
        <v>70</v>
      </c>
      <c r="D11" s="3" t="s">
        <v>43</v>
      </c>
      <c r="E11" s="3" t="s">
        <v>65</v>
      </c>
      <c r="F11" s="3" t="s">
        <v>16</v>
      </c>
      <c r="G11" s="3" t="s">
        <v>66</v>
      </c>
      <c r="H11" s="3" t="s">
        <v>67</v>
      </c>
      <c r="I11" s="3" t="s">
        <v>68</v>
      </c>
      <c r="J11" s="3" t="s">
        <v>69</v>
      </c>
      <c r="K11" s="3" t="s">
        <v>21</v>
      </c>
    </row>
    <row r="12" spans="1:11" ht="26.45" customHeight="1">
      <c r="A12" s="3" t="s">
        <v>61</v>
      </c>
      <c r="B12" s="3" t="s">
        <v>62</v>
      </c>
      <c r="C12" s="3" t="s">
        <v>71</v>
      </c>
      <c r="D12" s="3" t="s">
        <v>43</v>
      </c>
      <c r="E12" s="3" t="s">
        <v>65</v>
      </c>
      <c r="F12" s="3" t="s">
        <v>16</v>
      </c>
      <c r="G12" s="3" t="s">
        <v>66</v>
      </c>
      <c r="H12" s="3" t="s">
        <v>67</v>
      </c>
      <c r="I12" s="3" t="s">
        <v>72</v>
      </c>
      <c r="J12" s="3" t="s">
        <v>69</v>
      </c>
      <c r="K12" s="3" t="s">
        <v>21</v>
      </c>
    </row>
    <row r="13" spans="1:11" ht="15" customHeight="1">
      <c r="A13" s="3" t="s">
        <v>73</v>
      </c>
      <c r="B13" s="3" t="s">
        <v>74</v>
      </c>
      <c r="C13" s="3" t="s">
        <v>75</v>
      </c>
      <c r="D13" s="3" t="s">
        <v>43</v>
      </c>
      <c r="E13" s="3" t="s">
        <v>76</v>
      </c>
      <c r="F13" s="3" t="s">
        <v>16</v>
      </c>
      <c r="G13" s="3" t="s">
        <v>77</v>
      </c>
      <c r="H13" s="3" t="s">
        <v>18</v>
      </c>
      <c r="I13" s="3" t="s">
        <v>78</v>
      </c>
      <c r="J13" s="3" t="s">
        <v>79</v>
      </c>
      <c r="K13" s="3" t="s">
        <v>21</v>
      </c>
    </row>
    <row r="14" spans="1:11" ht="15" customHeight="1">
      <c r="A14" s="3" t="s">
        <v>73</v>
      </c>
      <c r="B14" s="3" t="s">
        <v>74</v>
      </c>
      <c r="C14" s="3" t="s">
        <v>80</v>
      </c>
      <c r="D14" s="3" t="s">
        <v>43</v>
      </c>
      <c r="E14" s="3" t="s">
        <v>76</v>
      </c>
      <c r="F14" s="3" t="s">
        <v>16</v>
      </c>
      <c r="G14" s="3" t="s">
        <v>77</v>
      </c>
      <c r="H14" s="3" t="s">
        <v>18</v>
      </c>
      <c r="I14" s="3" t="s">
        <v>78</v>
      </c>
      <c r="J14" s="3" t="s">
        <v>81</v>
      </c>
      <c r="K14" s="3" t="s">
        <v>21</v>
      </c>
    </row>
    <row r="15" spans="1:11" ht="26.45" customHeight="1">
      <c r="A15" s="3" t="s">
        <v>73</v>
      </c>
      <c r="B15" s="3" t="s">
        <v>82</v>
      </c>
      <c r="C15" s="3" t="s">
        <v>83</v>
      </c>
      <c r="D15" s="3" t="s">
        <v>30</v>
      </c>
      <c r="E15" s="3" t="s">
        <v>84</v>
      </c>
      <c r="F15" s="3" t="s">
        <v>16</v>
      </c>
      <c r="G15" s="3" t="s">
        <v>85</v>
      </c>
      <c r="H15" s="3" t="s">
        <v>67</v>
      </c>
      <c r="I15" s="3" t="s">
        <v>86</v>
      </c>
      <c r="J15" s="3" t="s">
        <v>87</v>
      </c>
      <c r="K15" s="3" t="s">
        <v>21</v>
      </c>
    </row>
    <row r="16" spans="1:11" ht="15" customHeight="1">
      <c r="A16" s="3" t="s">
        <v>88</v>
      </c>
      <c r="B16" s="3" t="s">
        <v>89</v>
      </c>
      <c r="C16" s="3" t="s">
        <v>90</v>
      </c>
      <c r="D16" s="3" t="s">
        <v>43</v>
      </c>
      <c r="E16" s="3" t="s">
        <v>91</v>
      </c>
      <c r="F16" s="3" t="s">
        <v>16</v>
      </c>
      <c r="G16" s="3" t="s">
        <v>92</v>
      </c>
      <c r="H16" s="3" t="s">
        <v>18</v>
      </c>
      <c r="I16" s="3" t="s">
        <v>50</v>
      </c>
      <c r="J16" s="3" t="s">
        <v>93</v>
      </c>
      <c r="K16" s="3" t="s">
        <v>21</v>
      </c>
    </row>
    <row r="17" spans="1:11" ht="15" customHeight="1">
      <c r="A17" s="3" t="s">
        <v>88</v>
      </c>
      <c r="B17" s="3" t="s">
        <v>89</v>
      </c>
      <c r="C17" s="3" t="s">
        <v>94</v>
      </c>
      <c r="D17" s="3" t="s">
        <v>43</v>
      </c>
      <c r="E17" s="3" t="s">
        <v>95</v>
      </c>
      <c r="F17" s="3" t="s">
        <v>16</v>
      </c>
      <c r="G17" s="3" t="s">
        <v>92</v>
      </c>
      <c r="H17" s="3" t="s">
        <v>18</v>
      </c>
      <c r="I17" s="3" t="s">
        <v>50</v>
      </c>
      <c r="J17" s="3" t="s">
        <v>96</v>
      </c>
      <c r="K17" s="3" t="s">
        <v>21</v>
      </c>
    </row>
    <row r="18" spans="1:11" ht="15" customHeight="1">
      <c r="A18" s="3" t="s">
        <v>88</v>
      </c>
      <c r="B18" s="3" t="s">
        <v>89</v>
      </c>
      <c r="C18" s="3" t="s">
        <v>97</v>
      </c>
      <c r="D18" s="3" t="s">
        <v>43</v>
      </c>
      <c r="E18" s="3" t="s">
        <v>95</v>
      </c>
      <c r="F18" s="3" t="s">
        <v>16</v>
      </c>
      <c r="G18" s="3" t="s">
        <v>92</v>
      </c>
      <c r="H18" s="3" t="s">
        <v>18</v>
      </c>
      <c r="I18" s="3" t="s">
        <v>50</v>
      </c>
      <c r="J18" s="3" t="s">
        <v>98</v>
      </c>
      <c r="K18" s="3" t="s">
        <v>21</v>
      </c>
    </row>
    <row r="19" spans="1:11" ht="15" customHeight="1">
      <c r="A19" s="3" t="s">
        <v>88</v>
      </c>
      <c r="B19" s="3" t="s">
        <v>89</v>
      </c>
      <c r="C19" s="3" t="s">
        <v>99</v>
      </c>
      <c r="D19" s="3" t="s">
        <v>43</v>
      </c>
      <c r="E19" s="3" t="s">
        <v>91</v>
      </c>
      <c r="F19" s="3" t="s">
        <v>16</v>
      </c>
      <c r="G19" s="3" t="s">
        <v>92</v>
      </c>
      <c r="H19" s="3" t="s">
        <v>18</v>
      </c>
      <c r="I19" s="3" t="s">
        <v>50</v>
      </c>
      <c r="J19" s="3" t="s">
        <v>100</v>
      </c>
      <c r="K19" s="3" t="s">
        <v>21</v>
      </c>
    </row>
    <row r="20" spans="1:11" ht="15" customHeight="1">
      <c r="A20" s="3" t="s">
        <v>88</v>
      </c>
      <c r="B20" s="3" t="s">
        <v>89</v>
      </c>
      <c r="C20" s="3" t="s">
        <v>101</v>
      </c>
      <c r="D20" s="3" t="s">
        <v>56</v>
      </c>
      <c r="E20" s="3" t="s">
        <v>102</v>
      </c>
      <c r="F20" s="3" t="s">
        <v>103</v>
      </c>
      <c r="G20" s="3" t="s">
        <v>92</v>
      </c>
      <c r="H20" s="3" t="s">
        <v>18</v>
      </c>
      <c r="I20" s="3" t="s">
        <v>104</v>
      </c>
      <c r="J20" s="3" t="s">
        <v>105</v>
      </c>
      <c r="K20" s="3" t="s">
        <v>21</v>
      </c>
    </row>
    <row r="21" spans="1:11" ht="26.45" customHeight="1">
      <c r="A21" s="3" t="s">
        <v>106</v>
      </c>
      <c r="B21" s="3" t="s">
        <v>107</v>
      </c>
      <c r="C21" s="3" t="s">
        <v>108</v>
      </c>
      <c r="D21" s="3" t="s">
        <v>43</v>
      </c>
      <c r="E21" s="3" t="s">
        <v>109</v>
      </c>
      <c r="F21" s="3" t="s">
        <v>16</v>
      </c>
      <c r="G21" s="3" t="s">
        <v>110</v>
      </c>
      <c r="H21" s="3" t="s">
        <v>18</v>
      </c>
      <c r="I21" s="3" t="s">
        <v>50</v>
      </c>
      <c r="J21" s="3" t="s">
        <v>111</v>
      </c>
      <c r="K21" s="3" t="s">
        <v>21</v>
      </c>
    </row>
    <row r="22" spans="1:11" ht="26.45" customHeight="1">
      <c r="A22" s="3" t="s">
        <v>106</v>
      </c>
      <c r="B22" s="3" t="s">
        <v>107</v>
      </c>
      <c r="C22" s="3" t="s">
        <v>112</v>
      </c>
      <c r="D22" s="3" t="s">
        <v>43</v>
      </c>
      <c r="E22" s="3" t="s">
        <v>113</v>
      </c>
      <c r="F22" s="3" t="s">
        <v>16</v>
      </c>
      <c r="G22" s="3" t="s">
        <v>110</v>
      </c>
      <c r="H22" s="3" t="s">
        <v>18</v>
      </c>
      <c r="I22" s="3" t="s">
        <v>50</v>
      </c>
      <c r="J22" s="3" t="s">
        <v>114</v>
      </c>
      <c r="K22" s="3" t="s">
        <v>21</v>
      </c>
    </row>
    <row r="23" spans="1:11" ht="26.45" customHeight="1">
      <c r="A23" s="3" t="s">
        <v>106</v>
      </c>
      <c r="B23" s="3" t="s">
        <v>107</v>
      </c>
      <c r="C23" s="3" t="s">
        <v>115</v>
      </c>
      <c r="D23" s="3" t="s">
        <v>43</v>
      </c>
      <c r="E23" s="3" t="s">
        <v>113</v>
      </c>
      <c r="F23" s="3" t="s">
        <v>16</v>
      </c>
      <c r="G23" s="3" t="s">
        <v>116</v>
      </c>
      <c r="H23" s="3" t="s">
        <v>18</v>
      </c>
      <c r="I23" s="3" t="s">
        <v>50</v>
      </c>
      <c r="J23" s="3" t="s">
        <v>117</v>
      </c>
      <c r="K23" s="3" t="s">
        <v>21</v>
      </c>
    </row>
    <row r="24" spans="1:11" ht="15" customHeight="1">
      <c r="A24" s="3" t="s">
        <v>118</v>
      </c>
      <c r="B24" s="3" t="s">
        <v>119</v>
      </c>
      <c r="C24" s="3" t="s">
        <v>120</v>
      </c>
      <c r="D24" s="3" t="s">
        <v>43</v>
      </c>
      <c r="E24" s="3" t="s">
        <v>121</v>
      </c>
      <c r="F24" s="3" t="s">
        <v>16</v>
      </c>
      <c r="G24" s="3" t="s">
        <v>122</v>
      </c>
      <c r="H24" s="3" t="s">
        <v>18</v>
      </c>
      <c r="I24" s="3" t="s">
        <v>50</v>
      </c>
      <c r="J24" s="3" t="s">
        <v>123</v>
      </c>
      <c r="K24" s="3" t="s">
        <v>21</v>
      </c>
    </row>
    <row r="25" spans="1:11" ht="15" customHeight="1">
      <c r="A25" s="3" t="s">
        <v>118</v>
      </c>
      <c r="B25" s="3" t="s">
        <v>119</v>
      </c>
      <c r="C25" s="3" t="s">
        <v>124</v>
      </c>
      <c r="D25" s="3" t="s">
        <v>43</v>
      </c>
      <c r="E25" s="3" t="s">
        <v>121</v>
      </c>
      <c r="F25" s="3" t="s">
        <v>16</v>
      </c>
      <c r="G25" s="3" t="s">
        <v>122</v>
      </c>
      <c r="H25" s="3" t="s">
        <v>18</v>
      </c>
      <c r="I25" s="3" t="s">
        <v>50</v>
      </c>
      <c r="J25" s="3" t="s">
        <v>125</v>
      </c>
      <c r="K25" s="3" t="s">
        <v>21</v>
      </c>
    </row>
    <row r="26" spans="1:11" ht="15" customHeight="1">
      <c r="A26" s="3" t="s">
        <v>118</v>
      </c>
      <c r="B26" s="3" t="s">
        <v>119</v>
      </c>
      <c r="C26" s="3" t="s">
        <v>126</v>
      </c>
      <c r="D26" s="3" t="s">
        <v>43</v>
      </c>
      <c r="E26" s="3" t="s">
        <v>121</v>
      </c>
      <c r="F26" s="3" t="s">
        <v>16</v>
      </c>
      <c r="G26" s="3" t="s">
        <v>122</v>
      </c>
      <c r="H26" s="3" t="s">
        <v>18</v>
      </c>
      <c r="I26" s="3" t="s">
        <v>50</v>
      </c>
      <c r="J26" s="3" t="s">
        <v>123</v>
      </c>
      <c r="K26" s="3" t="s">
        <v>21</v>
      </c>
    </row>
    <row r="27" spans="1:11" ht="15" customHeight="1">
      <c r="A27" s="3" t="s">
        <v>118</v>
      </c>
      <c r="B27" s="3" t="s">
        <v>119</v>
      </c>
      <c r="C27" s="3" t="s">
        <v>127</v>
      </c>
      <c r="D27" s="3" t="s">
        <v>43</v>
      </c>
      <c r="E27" s="3" t="s">
        <v>121</v>
      </c>
      <c r="F27" s="3" t="s">
        <v>16</v>
      </c>
      <c r="G27" s="3" t="s">
        <v>122</v>
      </c>
      <c r="H27" s="3" t="s">
        <v>18</v>
      </c>
      <c r="I27" s="3" t="s">
        <v>50</v>
      </c>
      <c r="J27" s="3" t="s">
        <v>123</v>
      </c>
      <c r="K27" s="3" t="s">
        <v>21</v>
      </c>
    </row>
    <row r="28" spans="1:11" ht="15" customHeight="1">
      <c r="A28" s="3" t="s">
        <v>118</v>
      </c>
      <c r="B28" s="3" t="s">
        <v>119</v>
      </c>
      <c r="C28" s="3" t="s">
        <v>128</v>
      </c>
      <c r="D28" s="3" t="s">
        <v>43</v>
      </c>
      <c r="E28" s="3" t="s">
        <v>129</v>
      </c>
      <c r="F28" s="3" t="s">
        <v>16</v>
      </c>
      <c r="G28" s="3" t="s">
        <v>122</v>
      </c>
      <c r="H28" s="3" t="s">
        <v>18</v>
      </c>
      <c r="I28" s="3" t="s">
        <v>50</v>
      </c>
      <c r="J28" s="3" t="s">
        <v>130</v>
      </c>
      <c r="K28" s="3" t="s">
        <v>21</v>
      </c>
    </row>
    <row r="29" spans="1:11" ht="15" customHeight="1">
      <c r="A29" s="3" t="s">
        <v>118</v>
      </c>
      <c r="B29" s="3" t="s">
        <v>119</v>
      </c>
      <c r="C29" s="3" t="s">
        <v>131</v>
      </c>
      <c r="D29" s="3" t="s">
        <v>43</v>
      </c>
      <c r="E29" s="3" t="s">
        <v>121</v>
      </c>
      <c r="F29" s="3" t="s">
        <v>16</v>
      </c>
      <c r="G29" s="3" t="s">
        <v>122</v>
      </c>
      <c r="H29" s="3" t="s">
        <v>18</v>
      </c>
      <c r="I29" s="3" t="s">
        <v>50</v>
      </c>
      <c r="J29" s="3" t="s">
        <v>132</v>
      </c>
      <c r="K29" s="3" t="s">
        <v>21</v>
      </c>
    </row>
    <row r="30" spans="1:11" ht="26.45" customHeight="1">
      <c r="A30" s="3" t="s">
        <v>118</v>
      </c>
      <c r="B30" s="3" t="s">
        <v>119</v>
      </c>
      <c r="C30" s="3" t="s">
        <v>133</v>
      </c>
      <c r="D30" s="3" t="s">
        <v>43</v>
      </c>
      <c r="E30" s="3" t="s">
        <v>134</v>
      </c>
      <c r="F30" s="3" t="s">
        <v>16</v>
      </c>
      <c r="G30" s="3" t="s">
        <v>135</v>
      </c>
      <c r="H30" s="3" t="s">
        <v>67</v>
      </c>
      <c r="I30" s="3" t="s">
        <v>136</v>
      </c>
      <c r="J30" s="3" t="s">
        <v>137</v>
      </c>
      <c r="K30" s="3" t="s">
        <v>21</v>
      </c>
    </row>
    <row r="31" spans="1:11" ht="26.45" customHeight="1">
      <c r="A31" s="3" t="s">
        <v>118</v>
      </c>
      <c r="B31" s="3" t="s">
        <v>119</v>
      </c>
      <c r="C31" s="3" t="s">
        <v>138</v>
      </c>
      <c r="D31" s="3" t="s">
        <v>43</v>
      </c>
      <c r="E31" s="3" t="s">
        <v>134</v>
      </c>
      <c r="F31" s="3" t="s">
        <v>16</v>
      </c>
      <c r="G31" s="3" t="s">
        <v>135</v>
      </c>
      <c r="H31" s="3" t="s">
        <v>67</v>
      </c>
      <c r="I31" s="3" t="s">
        <v>136</v>
      </c>
      <c r="J31" s="3" t="s">
        <v>137</v>
      </c>
      <c r="K31" s="3" t="s">
        <v>21</v>
      </c>
    </row>
    <row r="32" spans="1:11" ht="26.45" customHeight="1">
      <c r="A32" s="3" t="s">
        <v>118</v>
      </c>
      <c r="B32" s="3" t="s">
        <v>119</v>
      </c>
      <c r="C32" s="3" t="s">
        <v>139</v>
      </c>
      <c r="D32" s="3" t="s">
        <v>43</v>
      </c>
      <c r="E32" s="3" t="s">
        <v>134</v>
      </c>
      <c r="F32" s="3" t="s">
        <v>16</v>
      </c>
      <c r="G32" s="3" t="s">
        <v>135</v>
      </c>
      <c r="H32" s="3" t="s">
        <v>67</v>
      </c>
      <c r="I32" s="3" t="s">
        <v>136</v>
      </c>
      <c r="J32" s="3" t="s">
        <v>137</v>
      </c>
      <c r="K32" s="3" t="s">
        <v>21</v>
      </c>
    </row>
    <row r="33" spans="1:11" ht="26.45" customHeight="1">
      <c r="A33" s="3" t="s">
        <v>140</v>
      </c>
      <c r="B33" s="3" t="s">
        <v>141</v>
      </c>
      <c r="C33" s="3" t="s">
        <v>142</v>
      </c>
      <c r="D33" s="3" t="s">
        <v>43</v>
      </c>
      <c r="E33" s="3" t="s">
        <v>143</v>
      </c>
      <c r="F33" s="3" t="s">
        <v>16</v>
      </c>
      <c r="G33" s="3" t="s">
        <v>144</v>
      </c>
      <c r="H33" s="3" t="s">
        <v>18</v>
      </c>
      <c r="I33" s="3" t="s">
        <v>50</v>
      </c>
      <c r="J33" s="3" t="s">
        <v>145</v>
      </c>
      <c r="K33" s="3" t="s">
        <v>21</v>
      </c>
    </row>
    <row r="34" spans="1:11" ht="26.45" customHeight="1">
      <c r="A34" s="3" t="s">
        <v>140</v>
      </c>
      <c r="B34" s="3" t="s">
        <v>141</v>
      </c>
      <c r="C34" s="3" t="s">
        <v>146</v>
      </c>
      <c r="D34" s="3" t="s">
        <v>43</v>
      </c>
      <c r="E34" s="3" t="s">
        <v>143</v>
      </c>
      <c r="F34" s="3" t="s">
        <v>16</v>
      </c>
      <c r="G34" s="3" t="s">
        <v>144</v>
      </c>
      <c r="H34" s="3" t="s">
        <v>18</v>
      </c>
      <c r="I34" s="3" t="s">
        <v>50</v>
      </c>
      <c r="J34" s="3" t="s">
        <v>145</v>
      </c>
      <c r="K34" s="3" t="s">
        <v>21</v>
      </c>
    </row>
    <row r="35" spans="1:11" ht="26.45" customHeight="1">
      <c r="A35" s="3" t="s">
        <v>140</v>
      </c>
      <c r="B35" s="3" t="s">
        <v>141</v>
      </c>
      <c r="C35" s="3" t="s">
        <v>147</v>
      </c>
      <c r="D35" s="3" t="s">
        <v>43</v>
      </c>
      <c r="E35" s="3" t="s">
        <v>148</v>
      </c>
      <c r="F35" s="3" t="s">
        <v>16</v>
      </c>
      <c r="G35" s="3" t="s">
        <v>144</v>
      </c>
      <c r="H35" s="3" t="s">
        <v>18</v>
      </c>
      <c r="I35" s="3" t="s">
        <v>50</v>
      </c>
      <c r="J35" s="3" t="s">
        <v>145</v>
      </c>
      <c r="K35" s="3" t="s">
        <v>21</v>
      </c>
    </row>
    <row r="36" spans="1:11" ht="26.45" customHeight="1">
      <c r="A36" s="3" t="s">
        <v>140</v>
      </c>
      <c r="B36" s="3" t="s">
        <v>141</v>
      </c>
      <c r="C36" s="3" t="s">
        <v>149</v>
      </c>
      <c r="D36" s="3" t="s">
        <v>43</v>
      </c>
      <c r="E36" s="3" t="s">
        <v>148</v>
      </c>
      <c r="F36" s="3" t="s">
        <v>16</v>
      </c>
      <c r="G36" s="3" t="s">
        <v>144</v>
      </c>
      <c r="H36" s="3" t="s">
        <v>18</v>
      </c>
      <c r="I36" s="3" t="s">
        <v>50</v>
      </c>
      <c r="J36" s="3" t="s">
        <v>145</v>
      </c>
      <c r="K36" s="3" t="s">
        <v>21</v>
      </c>
    </row>
    <row r="37" spans="1:11" ht="26.45" customHeight="1">
      <c r="A37" s="3" t="s">
        <v>140</v>
      </c>
      <c r="B37" s="3" t="s">
        <v>141</v>
      </c>
      <c r="C37" s="3" t="s">
        <v>150</v>
      </c>
      <c r="D37" s="3" t="s">
        <v>43</v>
      </c>
      <c r="E37" s="3" t="s">
        <v>151</v>
      </c>
      <c r="F37" s="3" t="s">
        <v>16</v>
      </c>
      <c r="G37" s="3" t="s">
        <v>144</v>
      </c>
      <c r="H37" s="3" t="s">
        <v>18</v>
      </c>
      <c r="I37" s="3" t="s">
        <v>50</v>
      </c>
      <c r="J37" s="3" t="s">
        <v>152</v>
      </c>
      <c r="K37" s="3" t="s">
        <v>21</v>
      </c>
    </row>
    <row r="38" spans="1:11" ht="15" customHeight="1">
      <c r="A38" s="3" t="s">
        <v>140</v>
      </c>
      <c r="B38" s="3" t="s">
        <v>153</v>
      </c>
      <c r="C38" s="3" t="s">
        <v>154</v>
      </c>
      <c r="D38" s="3" t="s">
        <v>56</v>
      </c>
      <c r="E38" s="3" t="s">
        <v>148</v>
      </c>
      <c r="F38" s="3" t="s">
        <v>155</v>
      </c>
      <c r="G38" s="3" t="s">
        <v>156</v>
      </c>
      <c r="H38" s="3" t="s">
        <v>18</v>
      </c>
      <c r="I38" s="3" t="s">
        <v>157</v>
      </c>
      <c r="J38" s="3" t="s">
        <v>158</v>
      </c>
      <c r="K38" s="3" t="s">
        <v>21</v>
      </c>
    </row>
    <row r="39" spans="1:11" ht="15" customHeight="1">
      <c r="A39" s="3" t="s">
        <v>159</v>
      </c>
      <c r="B39" s="3" t="s">
        <v>160</v>
      </c>
      <c r="C39" s="3" t="s">
        <v>161</v>
      </c>
      <c r="D39" s="3" t="s">
        <v>43</v>
      </c>
      <c r="E39" s="3" t="s">
        <v>162</v>
      </c>
      <c r="F39" s="3" t="s">
        <v>16</v>
      </c>
      <c r="G39" s="3" t="s">
        <v>163</v>
      </c>
      <c r="H39" s="3" t="s">
        <v>18</v>
      </c>
      <c r="I39" s="3" t="s">
        <v>164</v>
      </c>
      <c r="J39" s="3" t="s">
        <v>165</v>
      </c>
      <c r="K39" s="3" t="s">
        <v>21</v>
      </c>
    </row>
    <row r="40" spans="1:11" ht="15" customHeight="1">
      <c r="A40" s="3" t="s">
        <v>159</v>
      </c>
      <c r="B40" s="3" t="s">
        <v>160</v>
      </c>
      <c r="C40" s="3" t="s">
        <v>166</v>
      </c>
      <c r="D40" s="3" t="s">
        <v>43</v>
      </c>
      <c r="E40" s="3" t="s">
        <v>162</v>
      </c>
      <c r="F40" s="3" t="s">
        <v>16</v>
      </c>
      <c r="G40" s="3" t="s">
        <v>163</v>
      </c>
      <c r="H40" s="3" t="s">
        <v>18</v>
      </c>
      <c r="I40" s="3" t="s">
        <v>164</v>
      </c>
      <c r="J40" s="3" t="s">
        <v>165</v>
      </c>
      <c r="K40" s="3" t="s">
        <v>21</v>
      </c>
    </row>
    <row r="41" spans="1:11" ht="26.45" customHeight="1">
      <c r="A41" s="3" t="s">
        <v>167</v>
      </c>
      <c r="B41" s="3" t="s">
        <v>168</v>
      </c>
      <c r="C41" s="3" t="s">
        <v>169</v>
      </c>
      <c r="D41" s="3" t="s">
        <v>14</v>
      </c>
      <c r="E41" s="3" t="s">
        <v>170</v>
      </c>
      <c r="F41" s="3" t="s">
        <v>16</v>
      </c>
      <c r="G41" s="3" t="s">
        <v>171</v>
      </c>
      <c r="H41" s="3" t="s">
        <v>67</v>
      </c>
      <c r="I41" s="3" t="s">
        <v>172</v>
      </c>
      <c r="J41" s="3" t="s">
        <v>173</v>
      </c>
      <c r="K41" s="3" t="s">
        <v>21</v>
      </c>
    </row>
    <row r="42" spans="1:11" ht="15" customHeight="1">
      <c r="A42" s="3" t="s">
        <v>174</v>
      </c>
      <c r="B42" s="3" t="s">
        <v>175</v>
      </c>
      <c r="C42" s="3" t="s">
        <v>176</v>
      </c>
      <c r="D42" s="3" t="s">
        <v>43</v>
      </c>
      <c r="E42" s="3" t="s">
        <v>177</v>
      </c>
      <c r="F42" s="3" t="s">
        <v>16</v>
      </c>
      <c r="G42" s="3" t="s">
        <v>178</v>
      </c>
      <c r="H42" s="3" t="s">
        <v>18</v>
      </c>
      <c r="I42" s="3" t="s">
        <v>50</v>
      </c>
      <c r="J42" s="3" t="s">
        <v>179</v>
      </c>
      <c r="K42" s="3" t="s">
        <v>21</v>
      </c>
    </row>
    <row r="43" spans="1:11" ht="15" customHeight="1">
      <c r="A43" s="3" t="s">
        <v>174</v>
      </c>
      <c r="B43" s="3" t="s">
        <v>175</v>
      </c>
      <c r="C43" s="3" t="s">
        <v>180</v>
      </c>
      <c r="D43" s="3" t="s">
        <v>43</v>
      </c>
      <c r="E43" s="3" t="s">
        <v>177</v>
      </c>
      <c r="F43" s="3" t="s">
        <v>16</v>
      </c>
      <c r="G43" s="3" t="s">
        <v>178</v>
      </c>
      <c r="H43" s="3" t="s">
        <v>18</v>
      </c>
      <c r="I43" s="3" t="s">
        <v>50</v>
      </c>
      <c r="J43" s="3" t="s">
        <v>181</v>
      </c>
      <c r="K43" s="3" t="s">
        <v>21</v>
      </c>
    </row>
    <row r="44" spans="1:11" ht="15" customHeight="1">
      <c r="A44" s="3" t="s">
        <v>174</v>
      </c>
      <c r="B44" s="3" t="s">
        <v>175</v>
      </c>
      <c r="C44" s="3" t="s">
        <v>182</v>
      </c>
      <c r="D44" s="3" t="s">
        <v>43</v>
      </c>
      <c r="E44" s="3" t="s">
        <v>177</v>
      </c>
      <c r="F44" s="3" t="s">
        <v>16</v>
      </c>
      <c r="G44" s="3" t="s">
        <v>178</v>
      </c>
      <c r="H44" s="3" t="s">
        <v>18</v>
      </c>
      <c r="I44" s="3" t="s">
        <v>50</v>
      </c>
      <c r="J44" s="3" t="s">
        <v>179</v>
      </c>
      <c r="K44" s="3" t="s">
        <v>21</v>
      </c>
    </row>
    <row r="45" spans="1:11" ht="15" customHeight="1">
      <c r="A45" s="3" t="s">
        <v>174</v>
      </c>
      <c r="B45" s="3" t="s">
        <v>175</v>
      </c>
      <c r="C45" s="3" t="s">
        <v>183</v>
      </c>
      <c r="D45" s="3" t="s">
        <v>43</v>
      </c>
      <c r="E45" s="3" t="s">
        <v>177</v>
      </c>
      <c r="F45" s="3" t="s">
        <v>16</v>
      </c>
      <c r="G45" s="3" t="s">
        <v>178</v>
      </c>
      <c r="H45" s="3" t="s">
        <v>18</v>
      </c>
      <c r="I45" s="3" t="s">
        <v>50</v>
      </c>
      <c r="J45" s="3" t="s">
        <v>179</v>
      </c>
      <c r="K45" s="3" t="s">
        <v>21</v>
      </c>
    </row>
    <row r="46" spans="1:11" ht="15" customHeight="1">
      <c r="A46" s="3" t="s">
        <v>174</v>
      </c>
      <c r="B46" s="3" t="s">
        <v>175</v>
      </c>
      <c r="C46" s="3" t="s">
        <v>184</v>
      </c>
      <c r="D46" s="3" t="s">
        <v>43</v>
      </c>
      <c r="E46" s="3" t="s">
        <v>177</v>
      </c>
      <c r="F46" s="3" t="s">
        <v>16</v>
      </c>
      <c r="G46" s="3" t="s">
        <v>178</v>
      </c>
      <c r="H46" s="3" t="s">
        <v>18</v>
      </c>
      <c r="I46" s="3" t="s">
        <v>50</v>
      </c>
      <c r="J46" s="3" t="s">
        <v>179</v>
      </c>
      <c r="K46" s="3" t="s">
        <v>21</v>
      </c>
    </row>
    <row r="47" spans="1:11" ht="15" customHeight="1">
      <c r="A47" s="3" t="s">
        <v>174</v>
      </c>
      <c r="B47" s="3" t="s">
        <v>175</v>
      </c>
      <c r="C47" s="3" t="s">
        <v>185</v>
      </c>
      <c r="D47" s="3" t="s">
        <v>43</v>
      </c>
      <c r="E47" s="3" t="s">
        <v>177</v>
      </c>
      <c r="F47" s="3" t="s">
        <v>16</v>
      </c>
      <c r="G47" s="3" t="s">
        <v>178</v>
      </c>
      <c r="H47" s="3" t="s">
        <v>18</v>
      </c>
      <c r="I47" s="3" t="s">
        <v>50</v>
      </c>
      <c r="J47" s="3" t="s">
        <v>186</v>
      </c>
      <c r="K47" s="3" t="s">
        <v>21</v>
      </c>
    </row>
    <row r="48" spans="1:11" ht="26.45" customHeight="1">
      <c r="A48" s="3" t="s">
        <v>187</v>
      </c>
      <c r="B48" s="3" t="s">
        <v>188</v>
      </c>
      <c r="C48" s="3" t="s">
        <v>189</v>
      </c>
      <c r="D48" s="3" t="s">
        <v>43</v>
      </c>
      <c r="E48" s="3" t="s">
        <v>190</v>
      </c>
      <c r="F48" s="3" t="s">
        <v>191</v>
      </c>
      <c r="G48" s="3" t="s">
        <v>45</v>
      </c>
      <c r="H48" s="3" t="s">
        <v>18</v>
      </c>
      <c r="I48" s="3" t="s">
        <v>192</v>
      </c>
      <c r="J48" s="3" t="s">
        <v>193</v>
      </c>
      <c r="K48" s="3" t="s">
        <v>21</v>
      </c>
    </row>
    <row r="49" spans="1:11" ht="26.45" customHeight="1">
      <c r="A49" s="3" t="s">
        <v>187</v>
      </c>
      <c r="B49" s="3" t="s">
        <v>194</v>
      </c>
      <c r="C49" s="3" t="s">
        <v>195</v>
      </c>
      <c r="D49" s="3" t="s">
        <v>43</v>
      </c>
      <c r="E49" s="3" t="s">
        <v>196</v>
      </c>
      <c r="F49" s="3" t="s">
        <v>16</v>
      </c>
      <c r="G49" s="3" t="s">
        <v>197</v>
      </c>
      <c r="H49" s="3" t="s">
        <v>67</v>
      </c>
      <c r="I49" s="3" t="s">
        <v>198</v>
      </c>
      <c r="J49" s="3" t="s">
        <v>199</v>
      </c>
      <c r="K49" s="3" t="s">
        <v>21</v>
      </c>
    </row>
    <row r="50" spans="1:11" ht="26.45" customHeight="1">
      <c r="A50" s="3" t="s">
        <v>200</v>
      </c>
      <c r="B50" s="3" t="s">
        <v>201</v>
      </c>
      <c r="C50" s="3" t="s">
        <v>202</v>
      </c>
      <c r="D50" s="3" t="s">
        <v>43</v>
      </c>
      <c r="E50" s="3" t="s">
        <v>203</v>
      </c>
      <c r="F50" s="3" t="s">
        <v>16</v>
      </c>
      <c r="G50" s="3" t="s">
        <v>204</v>
      </c>
      <c r="H50" s="3" t="s">
        <v>67</v>
      </c>
      <c r="I50" s="3" t="s">
        <v>205</v>
      </c>
      <c r="J50" s="3" t="s">
        <v>206</v>
      </c>
      <c r="K50" s="3" t="s">
        <v>21</v>
      </c>
    </row>
    <row r="51" spans="1:11" ht="26.45" customHeight="1">
      <c r="A51" s="3" t="s">
        <v>200</v>
      </c>
      <c r="B51" s="3" t="s">
        <v>201</v>
      </c>
      <c r="C51" s="3" t="s">
        <v>207</v>
      </c>
      <c r="D51" s="3" t="s">
        <v>43</v>
      </c>
      <c r="E51" s="3" t="s">
        <v>203</v>
      </c>
      <c r="F51" s="3" t="s">
        <v>16</v>
      </c>
      <c r="G51" s="3" t="s">
        <v>204</v>
      </c>
      <c r="H51" s="3" t="s">
        <v>67</v>
      </c>
      <c r="I51" s="3" t="s">
        <v>205</v>
      </c>
      <c r="J51" s="3" t="s">
        <v>206</v>
      </c>
      <c r="K51" s="3" t="s">
        <v>21</v>
      </c>
    </row>
    <row r="52" spans="1:11" ht="15" customHeight="1">
      <c r="A52" s="3" t="s">
        <v>200</v>
      </c>
      <c r="B52" s="3" t="s">
        <v>208</v>
      </c>
      <c r="C52" s="3" t="s">
        <v>208</v>
      </c>
      <c r="D52" s="3" t="s">
        <v>56</v>
      </c>
      <c r="E52" s="3" t="s">
        <v>209</v>
      </c>
      <c r="F52" s="3" t="s">
        <v>210</v>
      </c>
      <c r="G52" s="3" t="s">
        <v>45</v>
      </c>
      <c r="H52" s="3" t="s">
        <v>18</v>
      </c>
      <c r="I52" s="3" t="s">
        <v>211</v>
      </c>
      <c r="J52" s="3" t="s">
        <v>206</v>
      </c>
      <c r="K52" s="3" t="s">
        <v>21</v>
      </c>
    </row>
    <row r="53" spans="1:11" ht="15" customHeight="1">
      <c r="A53" s="3" t="s">
        <v>212</v>
      </c>
      <c r="B53" s="3" t="s">
        <v>213</v>
      </c>
      <c r="C53" s="3" t="s">
        <v>214</v>
      </c>
      <c r="D53" s="3" t="s">
        <v>30</v>
      </c>
      <c r="E53" s="3" t="s">
        <v>24</v>
      </c>
      <c r="F53" s="3" t="s">
        <v>215</v>
      </c>
      <c r="G53" s="3" t="s">
        <v>216</v>
      </c>
      <c r="H53" s="3" t="s">
        <v>18</v>
      </c>
      <c r="I53" s="3" t="s">
        <v>33</v>
      </c>
      <c r="J53" s="3" t="s">
        <v>217</v>
      </c>
      <c r="K53" s="3" t="s">
        <v>21</v>
      </c>
    </row>
    <row r="54" spans="1:11" ht="15" customHeight="1">
      <c r="A54" s="3" t="s">
        <v>212</v>
      </c>
      <c r="B54" s="3" t="s">
        <v>213</v>
      </c>
      <c r="C54" s="3" t="s">
        <v>218</v>
      </c>
      <c r="D54" s="3" t="s">
        <v>56</v>
      </c>
      <c r="E54" s="3" t="s">
        <v>24</v>
      </c>
      <c r="F54" s="3" t="s">
        <v>103</v>
      </c>
      <c r="G54" s="3" t="s">
        <v>216</v>
      </c>
      <c r="H54" s="3" t="s">
        <v>18</v>
      </c>
      <c r="I54" s="3" t="s">
        <v>211</v>
      </c>
      <c r="J54" s="3" t="s">
        <v>219</v>
      </c>
      <c r="K54" s="3" t="s">
        <v>21</v>
      </c>
    </row>
    <row r="55" spans="1:11" ht="26.45" customHeight="1">
      <c r="A55" s="3" t="s">
        <v>212</v>
      </c>
      <c r="B55" s="3" t="s">
        <v>220</v>
      </c>
      <c r="C55" s="3" t="s">
        <v>221</v>
      </c>
      <c r="D55" s="3" t="s">
        <v>56</v>
      </c>
      <c r="E55" s="3" t="s">
        <v>222</v>
      </c>
      <c r="F55" s="3" t="s">
        <v>209</v>
      </c>
      <c r="G55" s="3" t="s">
        <v>45</v>
      </c>
      <c r="H55" s="3" t="s">
        <v>18</v>
      </c>
      <c r="I55" s="3" t="s">
        <v>223</v>
      </c>
      <c r="J55" s="3" t="s">
        <v>224</v>
      </c>
      <c r="K55" s="3" t="s">
        <v>21</v>
      </c>
    </row>
    <row r="56" spans="1:11" ht="15" customHeight="1">
      <c r="A56" s="3" t="s">
        <v>212</v>
      </c>
      <c r="B56" s="3" t="s">
        <v>220</v>
      </c>
      <c r="C56" s="3" t="s">
        <v>225</v>
      </c>
      <c r="D56" s="3" t="s">
        <v>43</v>
      </c>
      <c r="E56" s="3" t="s">
        <v>31</v>
      </c>
      <c r="F56" s="3" t="s">
        <v>16</v>
      </c>
      <c r="G56" s="3" t="s">
        <v>226</v>
      </c>
      <c r="H56" s="3" t="s">
        <v>67</v>
      </c>
      <c r="I56" s="3" t="s">
        <v>227</v>
      </c>
      <c r="J56" s="3" t="s">
        <v>219</v>
      </c>
      <c r="K56" s="3" t="s">
        <v>21</v>
      </c>
    </row>
  </sheetData>
  <phoneticPr fontId="3" type="noConversion"/>
  <conditionalFormatting sqref="D2:D56">
    <cfRule type="expression" dxfId="3" priority="2">
      <formula>D2="백어택"</formula>
    </cfRule>
    <cfRule type="expression" dxfId="2" priority="3">
      <formula>D2="헤드어택"</formula>
    </cfRule>
    <cfRule type="expression" dxfId="1" priority="4">
      <formula>D2="공격 타입 미확인"</formula>
    </cfRule>
  </conditionalFormatting>
  <conditionalFormatting sqref="H2:H56">
    <cfRule type="expression" dxfId="0" priority="1">
      <formula>H2="주의"</formula>
    </cfRule>
  </conditionalFormatting>
  <dataValidations count="2">
    <dataValidation type="list" sqref="D2:D56" xr:uid="{00000000-0002-0000-0000-000000000000}">
      <formula1>"백어택,헤드어택,무방향,공격 타입 없음,공격 타입 미확인"</formula1>
    </dataValidation>
    <dataValidation type="list" sqref="H2:H56" xr:uid="{00000000-0002-0000-0000-000001000000}">
      <formula1>"확정,주의"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/>
  <cols>
    <col min="1" max="1" width="22" customWidth="1"/>
    <col min="2" max="2" width="16" customWidth="1"/>
  </cols>
  <sheetData>
    <row r="1" spans="1:2" ht="15" customHeight="1">
      <c r="A1" s="4" t="s">
        <v>228</v>
      </c>
      <c r="B1" s="4" t="s">
        <v>229</v>
      </c>
    </row>
    <row r="2" spans="1:2" ht="15" customHeight="1">
      <c r="A2" t="s">
        <v>230</v>
      </c>
      <c r="B2">
        <f>COUNTA(아이덴티티스킬!C:C)-1</f>
        <v>55</v>
      </c>
    </row>
    <row r="3" spans="1:2" ht="15" customHeight="1">
      <c r="A3" t="s">
        <v>231</v>
      </c>
      <c r="B3">
        <f>COUNTIF(아이덴티티스킬!H:H,"확정")</f>
        <v>43</v>
      </c>
    </row>
    <row r="4" spans="1:2" ht="15" customHeight="1">
      <c r="A4" t="s">
        <v>232</v>
      </c>
      <c r="B4">
        <f>COUNTIF(아이덴티티스킬!H:H,"주의")</f>
        <v>12</v>
      </c>
    </row>
    <row r="5" spans="1:2" ht="15" customHeight="1">
      <c r="A5" t="s">
        <v>14</v>
      </c>
      <c r="B5">
        <f>COUNTIF(아이덴티티스킬!D:D,"백어택")</f>
        <v>4</v>
      </c>
    </row>
    <row r="6" spans="1:2" ht="15" customHeight="1">
      <c r="A6" t="s">
        <v>30</v>
      </c>
      <c r="B6">
        <f>COUNTIF(아이덴티티스킬!D:D,"헤드어택")</f>
        <v>3</v>
      </c>
    </row>
    <row r="7" spans="1:2" ht="15" customHeight="1">
      <c r="A7" t="s">
        <v>43</v>
      </c>
      <c r="B7">
        <f>COUNTIF(아이덴티티스킬!D:D,"무방향")</f>
        <v>42</v>
      </c>
    </row>
    <row r="8" spans="1:2" ht="15" customHeight="1">
      <c r="A8" t="s">
        <v>56</v>
      </c>
      <c r="B8">
        <f>COUNTIF(아이덴티티스킬!D:D,"공격 타입 없음")</f>
        <v>6</v>
      </c>
    </row>
    <row r="9" spans="1:2" ht="15" customHeight="1">
      <c r="A9" t="s">
        <v>64</v>
      </c>
      <c r="B9">
        <f>COUNTIF(아이덴티티스킬!D:D,"공격 타입 미확인")</f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selection activeCell="C52" sqref="C52:C53"/>
    </sheetView>
  </sheetViews>
  <sheetFormatPr defaultRowHeight="14.25"/>
  <cols>
    <col min="1" max="1" width="14" customWidth="1"/>
    <col min="2" max="2" width="26" customWidth="1"/>
    <col min="3" max="3" width="12" customWidth="1"/>
    <col min="4" max="4" width="58" customWidth="1"/>
    <col min="5" max="5" width="50" customWidth="1"/>
    <col min="6" max="6" width="12" customWidth="1"/>
  </cols>
  <sheetData>
    <row r="1" spans="1:6" ht="15" customHeight="1">
      <c r="A1" s="5" t="s">
        <v>0</v>
      </c>
      <c r="B1" s="5" t="s">
        <v>233</v>
      </c>
      <c r="C1" s="5" t="s">
        <v>228</v>
      </c>
      <c r="D1" s="5" t="s">
        <v>234</v>
      </c>
      <c r="E1" s="5" t="s">
        <v>9</v>
      </c>
      <c r="F1" s="5" t="s">
        <v>10</v>
      </c>
    </row>
    <row r="2" spans="1:6" ht="26.45" customHeight="1">
      <c r="A2" s="1" t="s">
        <v>200</v>
      </c>
      <c r="B2" s="1" t="s">
        <v>235</v>
      </c>
      <c r="C2" s="1" t="s">
        <v>236</v>
      </c>
      <c r="D2" s="1" t="s">
        <v>237</v>
      </c>
      <c r="E2" s="1" t="s">
        <v>238</v>
      </c>
      <c r="F2" s="1" t="s">
        <v>21</v>
      </c>
    </row>
    <row r="3" spans="1:6" ht="15" customHeight="1">
      <c r="A3" s="1" t="s">
        <v>200</v>
      </c>
      <c r="B3" s="1" t="s">
        <v>239</v>
      </c>
      <c r="C3" s="1" t="s">
        <v>236</v>
      </c>
      <c r="D3" s="1" t="s">
        <v>240</v>
      </c>
      <c r="E3" s="1" t="s">
        <v>206</v>
      </c>
      <c r="F3" s="1" t="s">
        <v>21</v>
      </c>
    </row>
    <row r="4" spans="1:6" ht="15" customHeight="1">
      <c r="A4" s="1" t="s">
        <v>200</v>
      </c>
      <c r="B4" s="1" t="s">
        <v>241</v>
      </c>
      <c r="C4" s="1" t="s">
        <v>236</v>
      </c>
      <c r="D4" s="1" t="s">
        <v>240</v>
      </c>
      <c r="E4" s="1" t="s">
        <v>206</v>
      </c>
      <c r="F4" s="1" t="s">
        <v>21</v>
      </c>
    </row>
    <row r="5" spans="1:6" ht="15" customHeight="1">
      <c r="A5" s="1" t="s">
        <v>200</v>
      </c>
      <c r="B5" s="1" t="s">
        <v>242</v>
      </c>
      <c r="C5" s="1" t="s">
        <v>236</v>
      </c>
      <c r="D5" s="1" t="s">
        <v>240</v>
      </c>
      <c r="E5" s="1" t="s">
        <v>206</v>
      </c>
      <c r="F5" s="1" t="s">
        <v>21</v>
      </c>
    </row>
    <row r="6" spans="1:6" ht="15" customHeight="1">
      <c r="A6" s="1" t="s">
        <v>200</v>
      </c>
      <c r="B6" s="1" t="s">
        <v>243</v>
      </c>
      <c r="C6" s="1" t="s">
        <v>236</v>
      </c>
      <c r="D6" s="1" t="s">
        <v>240</v>
      </c>
      <c r="E6" s="1" t="s">
        <v>206</v>
      </c>
      <c r="F6" s="1" t="s">
        <v>21</v>
      </c>
    </row>
    <row r="7" spans="1:6" ht="15" customHeight="1">
      <c r="A7" s="1" t="s">
        <v>200</v>
      </c>
      <c r="B7" s="1" t="s">
        <v>244</v>
      </c>
      <c r="C7" s="1" t="s">
        <v>236</v>
      </c>
      <c r="D7" s="1" t="s">
        <v>240</v>
      </c>
      <c r="E7" s="1" t="s">
        <v>206</v>
      </c>
      <c r="F7" s="1" t="s">
        <v>21</v>
      </c>
    </row>
    <row r="8" spans="1:6" ht="15" customHeight="1">
      <c r="A8" s="1" t="s">
        <v>200</v>
      </c>
      <c r="B8" s="1" t="s">
        <v>245</v>
      </c>
      <c r="C8" s="1" t="s">
        <v>236</v>
      </c>
      <c r="D8" s="1" t="s">
        <v>240</v>
      </c>
      <c r="E8" s="1" t="s">
        <v>206</v>
      </c>
      <c r="F8" s="1" t="s">
        <v>21</v>
      </c>
    </row>
    <row r="9" spans="1:6" ht="15" customHeight="1">
      <c r="A9" s="1" t="s">
        <v>200</v>
      </c>
      <c r="B9" s="1" t="s">
        <v>246</v>
      </c>
      <c r="C9" s="1" t="s">
        <v>236</v>
      </c>
      <c r="D9" s="1" t="s">
        <v>240</v>
      </c>
      <c r="E9" s="1" t="s">
        <v>206</v>
      </c>
      <c r="F9" s="1" t="s">
        <v>21</v>
      </c>
    </row>
    <row r="10" spans="1:6" ht="15" customHeight="1">
      <c r="A10" s="1" t="s">
        <v>247</v>
      </c>
      <c r="B10" s="1" t="s">
        <v>248</v>
      </c>
      <c r="C10" s="1" t="s">
        <v>67</v>
      </c>
      <c r="D10" s="1" t="s">
        <v>249</v>
      </c>
      <c r="E10" s="1" t="s">
        <v>250</v>
      </c>
      <c r="F10" s="1" t="s">
        <v>21</v>
      </c>
    </row>
    <row r="11" spans="1:6" ht="15" customHeight="1">
      <c r="A11" s="1" t="s">
        <v>251</v>
      </c>
      <c r="B11" s="1" t="s">
        <v>252</v>
      </c>
      <c r="C11" s="1" t="s">
        <v>67</v>
      </c>
      <c r="D11" s="1" t="s">
        <v>253</v>
      </c>
      <c r="E11" s="1" t="s">
        <v>254</v>
      </c>
      <c r="F11" s="1" t="s">
        <v>21</v>
      </c>
    </row>
    <row r="12" spans="1:6" ht="26.45" customHeight="1">
      <c r="A12" s="1" t="s">
        <v>255</v>
      </c>
      <c r="B12" s="1" t="s">
        <v>256</v>
      </c>
      <c r="C12" s="1" t="s">
        <v>236</v>
      </c>
      <c r="D12" s="1" t="s">
        <v>257</v>
      </c>
      <c r="E12" s="1" t="s">
        <v>258</v>
      </c>
      <c r="F12" s="1" t="s">
        <v>21</v>
      </c>
    </row>
    <row r="13" spans="1:6" ht="15" customHeight="1">
      <c r="A13" s="1" t="s">
        <v>259</v>
      </c>
      <c r="B13" s="1" t="s">
        <v>260</v>
      </c>
      <c r="C13" s="1" t="s">
        <v>236</v>
      </c>
      <c r="D13" s="1" t="s">
        <v>261</v>
      </c>
      <c r="E13" s="1" t="s">
        <v>262</v>
      </c>
      <c r="F13" s="1" t="s">
        <v>21</v>
      </c>
    </row>
    <row r="14" spans="1:6" ht="15" customHeight="1">
      <c r="A14" s="1" t="s">
        <v>263</v>
      </c>
      <c r="B14" s="1" t="s">
        <v>264</v>
      </c>
      <c r="C14" s="1" t="s">
        <v>236</v>
      </c>
      <c r="D14" s="1" t="s">
        <v>265</v>
      </c>
      <c r="E14" s="1" t="s">
        <v>266</v>
      </c>
      <c r="F14" s="1" t="s">
        <v>21</v>
      </c>
    </row>
    <row r="15" spans="1:6" ht="26.45" customHeight="1">
      <c r="A15" s="1" t="s">
        <v>267</v>
      </c>
      <c r="B15" s="1" t="s">
        <v>256</v>
      </c>
      <c r="C15" s="1" t="s">
        <v>236</v>
      </c>
      <c r="D15" s="1" t="s">
        <v>257</v>
      </c>
      <c r="E15" s="1" t="s">
        <v>268</v>
      </c>
      <c r="F15" s="1" t="s">
        <v>21</v>
      </c>
    </row>
    <row r="16" spans="1:6" ht="15" customHeight="1">
      <c r="A16" s="1" t="s">
        <v>269</v>
      </c>
      <c r="B16" s="1" t="s">
        <v>270</v>
      </c>
      <c r="C16" s="1" t="s">
        <v>236</v>
      </c>
      <c r="D16" s="1" t="s">
        <v>271</v>
      </c>
      <c r="E16" s="1" t="s">
        <v>272</v>
      </c>
      <c r="F16" s="1" t="s">
        <v>21</v>
      </c>
    </row>
    <row r="17" spans="1:6" ht="15" customHeight="1">
      <c r="A17" s="1" t="s">
        <v>273</v>
      </c>
      <c r="B17" s="1" t="s">
        <v>270</v>
      </c>
      <c r="C17" s="1" t="s">
        <v>236</v>
      </c>
      <c r="D17" s="1" t="s">
        <v>271</v>
      </c>
      <c r="E17" s="1" t="s">
        <v>274</v>
      </c>
      <c r="F17" s="1" t="s">
        <v>21</v>
      </c>
    </row>
    <row r="18" spans="1:6" ht="15" customHeight="1">
      <c r="A18" s="1" t="s">
        <v>275</v>
      </c>
      <c r="B18" s="1" t="s">
        <v>276</v>
      </c>
      <c r="C18" s="1" t="s">
        <v>67</v>
      </c>
      <c r="D18" s="1" t="s">
        <v>277</v>
      </c>
      <c r="E18" s="1" t="s">
        <v>278</v>
      </c>
      <c r="F18" s="1" t="s">
        <v>21</v>
      </c>
    </row>
    <row r="19" spans="1:6" ht="15" customHeight="1">
      <c r="A19" s="1" t="s">
        <v>279</v>
      </c>
      <c r="B19" s="1" t="s">
        <v>280</v>
      </c>
      <c r="C19" s="1" t="s">
        <v>67</v>
      </c>
      <c r="D19" s="1" t="s">
        <v>281</v>
      </c>
      <c r="E19" s="1" t="s">
        <v>282</v>
      </c>
      <c r="F19" s="1" t="s">
        <v>21</v>
      </c>
    </row>
    <row r="20" spans="1:6" ht="15" customHeight="1">
      <c r="A20" s="1" t="s">
        <v>283</v>
      </c>
      <c r="B20" s="1" t="s">
        <v>284</v>
      </c>
      <c r="C20" s="1" t="s">
        <v>67</v>
      </c>
      <c r="D20" s="1" t="s">
        <v>285</v>
      </c>
      <c r="E20" s="1" t="s">
        <v>286</v>
      </c>
      <c r="F20" s="1" t="s">
        <v>21</v>
      </c>
    </row>
    <row r="21" spans="1:6" ht="15" customHeight="1">
      <c r="A21" s="1" t="s">
        <v>287</v>
      </c>
      <c r="B21" s="1" t="s">
        <v>288</v>
      </c>
      <c r="C21" s="1" t="s">
        <v>67</v>
      </c>
      <c r="D21" s="1" t="s">
        <v>289</v>
      </c>
      <c r="E21" s="1" t="s">
        <v>290</v>
      </c>
      <c r="F21" s="1" t="s">
        <v>21</v>
      </c>
    </row>
    <row r="22" spans="1:6" ht="15" customHeight="1">
      <c r="A22" s="1" t="s">
        <v>291</v>
      </c>
      <c r="B22" s="1" t="s">
        <v>292</v>
      </c>
      <c r="C22" s="1" t="s">
        <v>67</v>
      </c>
      <c r="D22" s="1" t="s">
        <v>277</v>
      </c>
      <c r="E22" s="1" t="s">
        <v>293</v>
      </c>
      <c r="F22" s="1" t="s">
        <v>21</v>
      </c>
    </row>
    <row r="23" spans="1:6" ht="26.45" customHeight="1">
      <c r="A23" s="1" t="s">
        <v>294</v>
      </c>
      <c r="B23" s="1" t="s">
        <v>295</v>
      </c>
      <c r="C23" s="1" t="s">
        <v>296</v>
      </c>
      <c r="D23" s="1" t="s">
        <v>297</v>
      </c>
      <c r="E23" s="1" t="s">
        <v>298</v>
      </c>
      <c r="F23" s="1" t="s">
        <v>21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25"/>
  <cols>
    <col min="1" max="1" width="20" customWidth="1"/>
    <col min="2" max="2" width="85" customWidth="1"/>
  </cols>
  <sheetData>
    <row r="1" spans="1:2" ht="15" customHeight="1">
      <c r="A1" s="6" t="s">
        <v>233</v>
      </c>
      <c r="B1" s="6" t="s">
        <v>299</v>
      </c>
    </row>
    <row r="2" spans="1:2" ht="26.45" customHeight="1">
      <c r="A2" s="1" t="s">
        <v>300</v>
      </c>
      <c r="B2" s="1" t="s">
        <v>301</v>
      </c>
    </row>
    <row r="3" spans="1:2" ht="15" customHeight="1">
      <c r="A3" s="1" t="s">
        <v>302</v>
      </c>
      <c r="B3" s="1" t="s">
        <v>303</v>
      </c>
    </row>
    <row r="4" spans="1:2" ht="15" customHeight="1">
      <c r="A4" s="1" t="s">
        <v>56</v>
      </c>
      <c r="B4" s="1" t="s">
        <v>304</v>
      </c>
    </row>
    <row r="5" spans="1:2" ht="15" customHeight="1">
      <c r="A5" s="1" t="s">
        <v>64</v>
      </c>
      <c r="B5" s="1" t="s">
        <v>305</v>
      </c>
    </row>
    <row r="6" spans="1:2" ht="15" customHeight="1">
      <c r="A6" s="1" t="s">
        <v>67</v>
      </c>
      <c r="B6" s="1" t="s">
        <v>306</v>
      </c>
    </row>
    <row r="7" spans="1:2" ht="15" customHeight="1">
      <c r="A7" s="1" t="s">
        <v>307</v>
      </c>
      <c r="B7" s="1" t="s">
        <v>308</v>
      </c>
    </row>
    <row r="8" spans="1:2" ht="15" customHeight="1">
      <c r="A8" s="1" t="s">
        <v>309</v>
      </c>
      <c r="B8" s="1" t="s">
        <v>310</v>
      </c>
    </row>
    <row r="9" spans="1:2" ht="15" customHeight="1">
      <c r="A9" s="1" t="s">
        <v>311</v>
      </c>
      <c r="B9" s="1" t="s">
        <v>312</v>
      </c>
    </row>
    <row r="10" spans="1:2" ht="15" customHeight="1">
      <c r="A10" s="1" t="s">
        <v>313</v>
      </c>
      <c r="B10" s="1" t="s">
        <v>314</v>
      </c>
    </row>
    <row r="11" spans="1:2" ht="15" customHeight="1">
      <c r="A11" s="1" t="s">
        <v>10</v>
      </c>
      <c r="B11" s="1" t="s">
        <v>21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아이덴티티스킬</vt:lpstr>
      <vt:lpstr>요약</vt:lpstr>
      <vt:lpstr>제외_주의</vt:lpstr>
      <vt:lpstr>기준_메모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Nho</cp:lastModifiedBy>
  <dcterms:modified xsi:type="dcterms:W3CDTF">2026-07-02T17:33:54Z</dcterms:modified>
</cp:coreProperties>
</file>