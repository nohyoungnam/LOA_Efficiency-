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ho\Desktop\loa_streamlit_fixed\data\"/>
    </mc:Choice>
  </mc:AlternateContent>
  <xr:revisionPtr revIDLastSave="0" documentId="13_ncr:1_{945293ED-81E0-46D4-905B-579CC43F4DF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황후의 은총" sheetId="1" r:id="rId1"/>
    <sheet name="황제의 칙령" sheetId="2" r:id="rId2"/>
  </sheets>
  <calcPr calcId="181029"/>
</workbook>
</file>

<file path=xl/calcChain.xml><?xml version="1.0" encoding="utf-8"?>
<calcChain xmlns="http://schemas.openxmlformats.org/spreadsheetml/2006/main">
  <c r="E16" i="1" l="1"/>
  <c r="F16" i="1"/>
  <c r="F6" i="2"/>
  <c r="E17" i="2"/>
  <c r="F17" i="2" s="1"/>
  <c r="E16" i="2"/>
  <c r="F16" i="2" s="1"/>
  <c r="E15" i="2"/>
  <c r="F15" i="2" s="1"/>
  <c r="E14" i="2"/>
  <c r="F14" i="2" s="1"/>
  <c r="E13" i="2"/>
  <c r="F13" i="2" s="1"/>
  <c r="E12" i="2"/>
  <c r="F12" i="2" s="1"/>
  <c r="E11" i="2"/>
  <c r="F11" i="2" s="1"/>
  <c r="E10" i="2"/>
  <c r="F10" i="2" s="1"/>
  <c r="E9" i="2"/>
  <c r="F9" i="2" s="1"/>
  <c r="E8" i="2"/>
  <c r="F8" i="2" s="1"/>
  <c r="E7" i="2"/>
  <c r="F7" i="2" s="1"/>
  <c r="E6" i="2"/>
  <c r="E5" i="2"/>
  <c r="F5" i="2" s="1"/>
  <c r="E4" i="2"/>
  <c r="F4" i="2" s="1"/>
  <c r="E3" i="2"/>
  <c r="F3" i="2" s="1"/>
  <c r="E2" i="2"/>
  <c r="F2" i="2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E2" i="1"/>
  <c r="F2" i="1" s="1"/>
</calcChain>
</file>

<file path=xl/sharedStrings.xml><?xml version="1.0" encoding="utf-8"?>
<sst xmlns="http://schemas.openxmlformats.org/spreadsheetml/2006/main" count="358" uniqueCount="138">
  <si>
    <t>card_key</t>
  </si>
  <si>
    <t>카드명</t>
  </si>
  <si>
    <t>카드구분</t>
  </si>
  <si>
    <t>실측횟수</t>
  </si>
  <si>
    <t>확률_rate</t>
  </si>
  <si>
    <t>효과</t>
  </si>
  <si>
    <t>지속시간_초</t>
  </si>
  <si>
    <t>계산분류</t>
  </si>
  <si>
    <t>적용대상</t>
  </si>
  <si>
    <t>피해증가_min_%</t>
  </si>
  <si>
    <t>피해증가_max_%</t>
  </si>
  <si>
    <t>치명타적중률증가_%</t>
  </si>
  <si>
    <t>치명타피해증가_%</t>
  </si>
  <si>
    <t>쿨타임감소_%</t>
  </si>
  <si>
    <t>공격속도최대_%</t>
  </si>
  <si>
    <t>이동속도_%</t>
  </si>
  <si>
    <t>발동확률_%</t>
  </si>
  <si>
    <t>받는피해증가_%</t>
  </si>
  <si>
    <t>카드획득최대_장</t>
  </si>
  <si>
    <t>계산비고</t>
  </si>
  <si>
    <t>확률_출처_URL</t>
  </si>
  <si>
    <t>효과_출처_URL</t>
  </si>
  <si>
    <t>패치기준_URL</t>
  </si>
  <si>
    <t>three_headed_snake</t>
  </si>
  <si>
    <t>삼두사</t>
  </si>
  <si>
    <t>공통</t>
  </si>
  <si>
    <t>16초간 기본 공격이 3방향으로 변경되고, 공격 적중 시 스택트 1중첩을 부여한다. 기본 공격 피해가 100% 증가하며 시드 이하 적에게는 주는 피해가 추가로 500% 증가한다.</t>
  </si>
  <si>
    <t>기본공격/스택</t>
  </si>
  <si>
    <t>기본 공격</t>
  </si>
  <si>
    <t>스킬 피해 증가가 아니라 기본 공격 강화로 분리 계산 권장.</t>
  </si>
  <si>
    <t>https://www.inven.co.kr/board/lostark/5346/152253</t>
  </si>
  <si>
    <t>https://lostark.inven.co.kr/dataninfo/skill/?reqjob=202</t>
  </si>
  <si>
    <t>https://lostark.game.onstove.com/News/Notice/Views/12717?noticetype=all&amp;page=3&amp;searchtext=&amp;searchtype=0</t>
  </si>
  <si>
    <t>madness</t>
  </si>
  <si>
    <t>광기</t>
  </si>
  <si>
    <t>30초간 스킬을 사용할 때마다 4초간 공격속도가 5%씩 증가한다. 최대 15%까지 증가한다.</t>
  </si>
  <si>
    <t>공격속도</t>
  </si>
  <si>
    <t>자신</t>
  </si>
  <si>
    <t>딜증이 아니라 모션/시전 속도 보정으로 처리.</t>
  </si>
  <si>
    <t>corrosion</t>
  </si>
  <si>
    <t>부식</t>
  </si>
  <si>
    <t>30초간 공격 시 30% 확률로 대상에게 5초간 자신에게 받는 피해 10% 증가 효과를 부여한다.</t>
  </si>
  <si>
    <t>받는피해증가/확률디버프</t>
  </si>
  <si>
    <t>적 대상</t>
  </si>
  <si>
    <t>적중 빈도와 디버프 유지율을 따로 계산해야 함.</t>
  </si>
  <si>
    <t>joy</t>
  </si>
  <si>
    <t>환희</t>
  </si>
  <si>
    <t>각성기, 이동기, 기상기를 제외한 스킬의 남아 있는 재사용 대기시간을 15% 즉시 감소시키거나, 50% 확률로 30% 즉시 감소시킨다.</t>
  </si>
  <si>
    <t>즉시쿨감</t>
  </si>
  <si>
    <t>각성기/이동기/기상기 제외 스킬</t>
  </si>
  <si>
    <t>쿨감 기대값은 남은 쿨과 50% 추가 효과를 반영해서 별도 처리.</t>
  </si>
  <si>
    <t>twisted_fate</t>
  </si>
  <si>
    <t>뒤틀린 운명</t>
  </si>
  <si>
    <t>4초간 스킬 피해가 증가하지 않거나 최대 40%까지 증가한다.</t>
  </si>
  <si>
    <t>랜덤스킬피해</t>
  </si>
  <si>
    <t>스킬 피해</t>
  </si>
  <si>
    <t>세부 랜덤 분포는 공식 미공개. 계산기에서는 사용자 입력/실측 보정 권장.</t>
  </si>
  <si>
    <t>ghost</t>
  </si>
  <si>
    <t>유령</t>
  </si>
  <si>
    <t>16초간 이동속도가 20% 증가하고, 이동 중 모험가 및 일반 몬스터와 충돌이 무시된다.</t>
  </si>
  <si>
    <t>이동/충돌무시</t>
  </si>
  <si>
    <t>직접 딜증 없음. 포지셔닝/가동률 보정에만 사용.</t>
  </si>
  <si>
    <t>cull</t>
  </si>
  <si>
    <t>도태</t>
  </si>
  <si>
    <t>4초간 기본 공격 및 모든 스킬의 치명타 적중률이 100%, 치명타 피해가 50% 증가한다.</t>
  </si>
  <si>
    <t>치적/치피</t>
  </si>
  <si>
    <t>기본 공격 및 모든 스킬</t>
  </si>
  <si>
    <t>치적은 최종 치적 100%가 아니라 +100%로 입력하고 100% 캡 처리 권장.</t>
  </si>
  <si>
    <t>balance</t>
  </si>
  <si>
    <t>균형</t>
  </si>
  <si>
    <t>황후전용</t>
  </si>
  <si>
    <t>30초간 스택트 스킬을 강화하여 적중 시 쌓이는 스택트 중첩 수가 1개 증가하고, 중첩을 쌓는 속도가 증가한다.</t>
  </si>
  <si>
    <t>스택트강화</t>
  </si>
  <si>
    <t>스택트 스킬</t>
  </si>
  <si>
    <t>황제의 칙령 활성화 시 사용 불가. 루인 4스택 도달 시간/사이클 보정용.</t>
  </si>
  <si>
    <t>judgment</t>
  </si>
  <si>
    <t>심판</t>
  </si>
  <si>
    <t>4초간 루인 스킬 사용 시 대상에게 걸려있는 스택트 중첩과 상관없이 항상 4스택 효과를 적용한다.</t>
  </si>
  <si>
    <t>루인4스택간주</t>
  </si>
  <si>
    <t>루인 스킬</t>
  </si>
  <si>
    <t>황제의 칙령 활성화 시 사용 불가. 루인 스킬별 4스택 기대값으로 계산.</t>
  </si>
  <si>
    <t>moon</t>
  </si>
  <si>
    <t>달</t>
  </si>
  <si>
    <t>30초간 스킬 재사용 대기시간이 20% 감소한다.</t>
  </si>
  <si>
    <t>지속쿨감</t>
  </si>
  <si>
    <t>스킬 재사용 대기시간</t>
  </si>
  <si>
    <t>지속시간 중 새로 도는 쿨에 적용되는 쿨감으로 처리.</t>
  </si>
  <si>
    <t>star</t>
  </si>
  <si>
    <t>별</t>
  </si>
  <si>
    <t>마나가 3초간 동결되고, 스킬의 마나 소모량이 100% 감소한다. 이후 최대 마나의 50%를 즉시 회복하고, 12초간 마나 회복 속도가 20% 증가한다.</t>
  </si>
  <si>
    <t>마나</t>
  </si>
  <si>
    <t>마나 제약이 없는 모델에서는 딜증 0으로 처리 가능.</t>
  </si>
  <si>
    <t>clown</t>
  </si>
  <si>
    <t>광대</t>
  </si>
  <si>
    <t>가장 최근에 사용한 카드를 한 번 더 획득한다.</t>
  </si>
  <si>
    <t>카드복사</t>
  </si>
  <si>
    <t>최근 사용 카드</t>
  </si>
  <si>
    <t>직전 카드에 따라 기대값이 달라지므로 마코프/실측 보정 권장.</t>
  </si>
  <si>
    <t>royal</t>
  </si>
  <si>
    <t>로열</t>
  </si>
  <si>
    <t>현재 비어있는 슬롯에 카드를 채운다. 최대 2장의 카드를 획득할 수 있다.</t>
  </si>
  <si>
    <t>카드수급</t>
  </si>
  <si>
    <t>빈 카드 슬롯</t>
  </si>
  <si>
    <t>카드 슬롯 상태에 따라 0~2장. 평균 획득 장수는 플레이 로그로 보정.</t>
  </si>
  <si>
    <t>wheel_of_fortune</t>
  </si>
  <si>
    <t>운명의 수레바퀴</t>
  </si>
  <si>
    <t>다음 스킬의 재사용 대기시간을 100% 감소시킨다. 운명의 수레바퀴 효과가 활성화된 상태에서는 사용할 수 없다.</t>
  </si>
  <si>
    <t>다음스킬쿨초기화</t>
  </si>
  <si>
    <t>다음 스킬</t>
  </si>
  <si>
    <t>어떤 스킬에 사용됐는지에 따라 기대값이 크게 달라짐.</t>
  </si>
  <si>
    <t>knight_of_empress</t>
  </si>
  <si>
    <t>황후의 기사</t>
  </si>
  <si>
    <t>특수/아크패시브</t>
  </si>
  <si>
    <t>지정된 방향으로 6m 범위 내의 적에게 피해를 주며, 공격 적중 시 카드 1장을 획득할 수 있다.</t>
  </si>
  <si>
    <t>직접피해/카드수급</t>
  </si>
  <si>
    <t>전방 6m 범위</t>
  </si>
  <si>
    <t>이번 실측 확률표는 황후의 기사 포함 조건. 직접 피해는 전투분석기 1회 평균 피해로 보정 권장.</t>
  </si>
  <si>
    <t>https://www.inven.co.kr/board/lostark/5346/152254</t>
  </si>
  <si>
    <t>emperor</t>
  </si>
  <si>
    <t>황제</t>
  </si>
  <si>
    <t>황제전용</t>
  </si>
  <si>
    <t>14m 범위 내의 적에게 피해를 준다.</t>
  </si>
  <si>
    <t>직접피해</t>
  </si>
  <si>
    <t>14m 범위 내 적</t>
  </si>
  <si>
    <t>실제 피해량은 캐릭터 공격력/피해증가/보석/버프에 따라 스케일링. 전투분석기 1회 평균 피해로 보정 권장.</t>
  </si>
  <si>
    <t>chancellor</t>
  </si>
  <si>
    <t>재상</t>
  </si>
  <si>
    <t>12초간 일반 스킬의 치명타 적중률이 20% 증가한다.</t>
  </si>
  <si>
    <t>일반스킬치적</t>
  </si>
  <si>
    <t>일반 스킬</t>
  </si>
  <si>
    <t>황제의 칙령 각인 활성화 시 사용 가능. 루인/스택트가 아닌 일반 스킬 대상.</t>
  </si>
  <si>
    <t>sovereign</t>
  </si>
  <si>
    <t>제후</t>
  </si>
  <si>
    <t>4초간 일반 스킬의 피해가 50% 증가한다.</t>
  </si>
  <si>
    <t>일반스킬피해</t>
  </si>
  <si>
    <t>황제의 칙령 각인 활성화 시 사용 가능. 일반 스킬 피해만 적용.</t>
  </si>
  <si>
    <t>카드가 뜰 확률_%</t>
    <phoneticPr fontId="4" type="noConversion"/>
  </si>
  <si>
    <t>황후의 기사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</si>
</sst>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11"/>
      <name val="Carlito"/>
    </font>
    <font>
      <sz val="8"/>
      <name val="돋움"/>
      <family val="3"/>
      <charset val="129"/>
    </font>
    <font>
      <b/>
      <sz val="1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F8FAFC"/>
      </patternFill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1" fillId="2" borderId="0" xfId="1" applyFont="1" applyFill="1" applyAlignment="1">
      <alignment horizontal="center" vertical="top" wrapText="1"/>
    </xf>
    <xf numFmtId="0" fontId="2" fillId="0" borderId="0" xfId="1" applyFont="1" applyAlignment="1">
      <alignment vertical="top" wrapText="1"/>
    </xf>
    <xf numFmtId="2" fontId="2" fillId="0" borderId="0" xfId="1" applyNumberFormat="1" applyFont="1" applyAlignment="1">
      <alignment vertical="top" wrapText="1"/>
    </xf>
    <xf numFmtId="1" fontId="2" fillId="0" borderId="0" xfId="1" applyNumberFormat="1" applyFont="1" applyAlignment="1">
      <alignment vertical="top" wrapText="1"/>
    </xf>
    <xf numFmtId="1" fontId="2" fillId="3" borderId="0" xfId="1" applyNumberFormat="1" applyFont="1" applyFill="1" applyAlignment="1">
      <alignment vertical="top" wrapText="1"/>
    </xf>
    <xf numFmtId="10" fontId="2" fillId="3" borderId="0" xfId="1" applyNumberFormat="1" applyFont="1" applyFill="1" applyAlignment="1">
      <alignment vertical="top" wrapText="1"/>
    </xf>
    <xf numFmtId="2" fontId="2" fillId="3" borderId="0" xfId="1" applyNumberFormat="1" applyFont="1" applyFill="1" applyAlignment="1">
      <alignment vertical="top" wrapText="1"/>
    </xf>
    <xf numFmtId="0" fontId="2" fillId="4" borderId="0" xfId="1" applyFont="1" applyFill="1" applyAlignment="1">
      <alignment vertical="top" wrapText="1"/>
    </xf>
    <xf numFmtId="0" fontId="5" fillId="5" borderId="0" xfId="1" applyFont="1" applyFill="1" applyAlignment="1">
      <alignment horizontal="center" vertical="top" wrapText="1"/>
    </xf>
    <xf numFmtId="0" fontId="1" fillId="5" borderId="0" xfId="1" applyFont="1" applyFill="1" applyAlignment="1">
      <alignment horizontal="center" vertical="top" wrapText="1"/>
    </xf>
    <xf numFmtId="10" fontId="0" fillId="0" borderId="0" xfId="0" applyNumberFormat="1"/>
  </cellXfs>
  <cellStyles count="2">
    <cellStyle name="Normal" xfId="1" xr:uid="{00000000-0005-0000-0000-000000000000}"/>
    <cellStyle name="표준" xfId="0" builtinId="0"/>
  </cellStyles>
  <dxfs count="1"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rcana황후전용Table" displayName="Arcana황후전용Table" ref="A1:X17" totalsRowCount="1">
  <tableColumns count="24">
    <tableColumn id="1" xr3:uid="{00000000-0010-0000-0000-000001000000}" name="card_key"/>
    <tableColumn id="2" xr3:uid="{00000000-0010-0000-0000-000002000000}" name="카드명"/>
    <tableColumn id="3" xr3:uid="{00000000-0010-0000-0000-000003000000}" name="카드구분"/>
    <tableColumn id="4" xr3:uid="{00000000-0010-0000-0000-000004000000}" name="실측횟수"/>
    <tableColumn id="5" xr3:uid="{00000000-0010-0000-0000-000005000000}" name="확률_rate" totalsRowDxfId="0"/>
    <tableColumn id="6" xr3:uid="{00000000-0010-0000-0000-000006000000}" name="카드가 뜰 확률_%"/>
    <tableColumn id="7" xr3:uid="{00000000-0010-0000-0000-000007000000}" name="효과"/>
    <tableColumn id="8" xr3:uid="{00000000-0010-0000-0000-000008000000}" name="지속시간_초"/>
    <tableColumn id="9" xr3:uid="{00000000-0010-0000-0000-000009000000}" name="계산분류"/>
    <tableColumn id="10" xr3:uid="{00000000-0010-0000-0000-00000A000000}" name="적용대상"/>
    <tableColumn id="11" xr3:uid="{00000000-0010-0000-0000-00000B000000}" name="피해증가_min_%"/>
    <tableColumn id="12" xr3:uid="{00000000-0010-0000-0000-00000C000000}" name="피해증가_max_%"/>
    <tableColumn id="13" xr3:uid="{00000000-0010-0000-0000-00000D000000}" name="치명타적중률증가_%"/>
    <tableColumn id="14" xr3:uid="{00000000-0010-0000-0000-00000E000000}" name="치명타피해증가_%"/>
    <tableColumn id="15" xr3:uid="{00000000-0010-0000-0000-00000F000000}" name="쿨타임감소_%"/>
    <tableColumn id="16" xr3:uid="{00000000-0010-0000-0000-000010000000}" name="공격속도최대_%"/>
    <tableColumn id="17" xr3:uid="{00000000-0010-0000-0000-000011000000}" name="이동속도_%"/>
    <tableColumn id="18" xr3:uid="{00000000-0010-0000-0000-000012000000}" name="발동확률_%"/>
    <tableColumn id="19" xr3:uid="{00000000-0010-0000-0000-000013000000}" name="받는피해증가_%"/>
    <tableColumn id="20" xr3:uid="{00000000-0010-0000-0000-000014000000}" name="카드획득최대_장"/>
    <tableColumn id="21" xr3:uid="{00000000-0010-0000-0000-000015000000}" name="계산비고"/>
    <tableColumn id="22" xr3:uid="{00000000-0010-0000-0000-000016000000}" name="확률_출처_URL"/>
    <tableColumn id="23" xr3:uid="{00000000-0010-0000-0000-000017000000}" name="효과_출처_URL"/>
    <tableColumn id="24" xr3:uid="{00000000-0010-0000-0000-000018000000}" name="패치기준_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rcana황제전용Table" displayName="Arcana황제전용Table" ref="A1:X17">
  <tableColumns count="24">
    <tableColumn id="1" xr3:uid="{00000000-0010-0000-0100-000001000000}" name="card_key"/>
    <tableColumn id="2" xr3:uid="{00000000-0010-0000-0100-000002000000}" name="카드명"/>
    <tableColumn id="3" xr3:uid="{00000000-0010-0000-0100-000003000000}" name="카드구분"/>
    <tableColumn id="4" xr3:uid="{00000000-0010-0000-0100-000004000000}" name="실측횟수"/>
    <tableColumn id="5" xr3:uid="{00000000-0010-0000-0100-000005000000}" name="확률_rate"/>
    <tableColumn id="6" xr3:uid="{00000000-0010-0000-0100-000006000000}" name="카드가 뜰 확률_%"/>
    <tableColumn id="7" xr3:uid="{00000000-0010-0000-0100-000007000000}" name="효과"/>
    <tableColumn id="8" xr3:uid="{00000000-0010-0000-0100-000008000000}" name="지속시간_초"/>
    <tableColumn id="9" xr3:uid="{00000000-0010-0000-0100-000009000000}" name="계산분류"/>
    <tableColumn id="10" xr3:uid="{00000000-0010-0000-0100-00000A000000}" name="적용대상"/>
    <tableColumn id="11" xr3:uid="{00000000-0010-0000-0100-00000B000000}" name="피해증가_min_%"/>
    <tableColumn id="12" xr3:uid="{00000000-0010-0000-0100-00000C000000}" name="피해증가_max_%"/>
    <tableColumn id="13" xr3:uid="{00000000-0010-0000-0100-00000D000000}" name="치명타적중률증가_%"/>
    <tableColumn id="14" xr3:uid="{00000000-0010-0000-0100-00000E000000}" name="치명타피해증가_%"/>
    <tableColumn id="15" xr3:uid="{00000000-0010-0000-0100-00000F000000}" name="쿨타임감소_%"/>
    <tableColumn id="16" xr3:uid="{00000000-0010-0000-0100-000010000000}" name="공격속도최대_%"/>
    <tableColumn id="17" xr3:uid="{00000000-0010-0000-0100-000011000000}" name="이동속도_%"/>
    <tableColumn id="18" xr3:uid="{00000000-0010-0000-0100-000012000000}" name="발동확률_%"/>
    <tableColumn id="19" xr3:uid="{00000000-0010-0000-0100-000013000000}" name="받는피해증가_%"/>
    <tableColumn id="20" xr3:uid="{00000000-0010-0000-0100-000014000000}" name="카드획득최대_장"/>
    <tableColumn id="21" xr3:uid="{00000000-0010-0000-0100-000015000000}" name="계산비고"/>
    <tableColumn id="22" xr3:uid="{00000000-0010-0000-0100-000016000000}" name="확률_출처_URL"/>
    <tableColumn id="23" xr3:uid="{00000000-0010-0000-0100-000017000000}" name="효과_출처_URL"/>
    <tableColumn id="24" xr3:uid="{00000000-0010-0000-0100-000018000000}" name="패치기준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"/>
  <sheetViews>
    <sheetView tabSelected="1" topLeftCell="A2" zoomScale="235" zoomScaleNormal="235" workbookViewId="0">
      <selection activeCell="G20" sqref="G20"/>
    </sheetView>
  </sheetViews>
  <sheetFormatPr defaultRowHeight="14.25"/>
  <cols>
    <col min="1" max="1" width="17.625" bestFit="1" customWidth="1"/>
    <col min="2" max="2" width="13.875" bestFit="1" customWidth="1"/>
    <col min="3" max="3" width="16" customWidth="1"/>
    <col min="4" max="4" width="10" customWidth="1"/>
    <col min="5" max="5" width="11" customWidth="1"/>
    <col min="6" max="6" width="12.75" customWidth="1"/>
    <col min="7" max="7" width="58" customWidth="1"/>
    <col min="8" max="8" width="11" customWidth="1"/>
    <col min="9" max="9" width="18" customWidth="1"/>
    <col min="10" max="10" width="20" customWidth="1"/>
    <col min="11" max="12" width="13" customWidth="1"/>
    <col min="13" max="13" width="16" customWidth="1"/>
    <col min="14" max="14" width="15" customWidth="1"/>
    <col min="15" max="15" width="13" customWidth="1"/>
    <col min="16" max="16" width="14" customWidth="1"/>
    <col min="17" max="18" width="12" customWidth="1"/>
    <col min="19" max="19" width="14" customWidth="1"/>
    <col min="20" max="20" width="12.25" bestFit="1" customWidth="1"/>
    <col min="21" max="21" width="41.875" bestFit="1" customWidth="1"/>
    <col min="22" max="24" width="42" customWidth="1"/>
  </cols>
  <sheetData>
    <row r="1" spans="1:24" ht="12" customHeight="1">
      <c r="A1" s="1" t="s">
        <v>0</v>
      </c>
      <c r="B1" s="1" t="s">
        <v>1</v>
      </c>
      <c r="C1" s="1" t="s">
        <v>2</v>
      </c>
      <c r="D1" s="9" t="s">
        <v>3</v>
      </c>
      <c r="E1" s="9" t="s">
        <v>4</v>
      </c>
      <c r="F1" s="9" t="s">
        <v>136</v>
      </c>
      <c r="G1" s="9" t="s">
        <v>5</v>
      </c>
      <c r="H1" s="9" t="s">
        <v>6</v>
      </c>
      <c r="I1" s="9" t="s">
        <v>7</v>
      </c>
      <c r="J1" s="9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ht="12" customHeight="1">
      <c r="A2" s="2" t="s">
        <v>23</v>
      </c>
      <c r="B2" s="2" t="s">
        <v>24</v>
      </c>
      <c r="C2" s="2" t="s">
        <v>25</v>
      </c>
      <c r="D2" s="5">
        <v>51</v>
      </c>
      <c r="E2" s="6">
        <f>D2/SUM($D$2:$D$16)</f>
        <v>5.0999999999999997E-2</v>
      </c>
      <c r="F2" s="7">
        <f t="shared" ref="F2:F16" si="0">E2*100</f>
        <v>5.0999999999999996</v>
      </c>
      <c r="G2" s="8" t="s">
        <v>26</v>
      </c>
      <c r="H2" s="8">
        <v>16</v>
      </c>
      <c r="I2" s="8" t="s">
        <v>27</v>
      </c>
      <c r="J2" s="8" t="s">
        <v>28</v>
      </c>
      <c r="K2" s="3">
        <v>100</v>
      </c>
      <c r="L2" s="3">
        <v>100</v>
      </c>
      <c r="M2" s="3"/>
      <c r="N2" s="3"/>
      <c r="O2" s="3"/>
      <c r="P2" s="3"/>
      <c r="Q2" s="3"/>
      <c r="R2" s="3"/>
      <c r="S2" s="3"/>
      <c r="T2" s="4"/>
      <c r="U2" s="2" t="s">
        <v>29</v>
      </c>
      <c r="V2" s="2" t="s">
        <v>30</v>
      </c>
      <c r="W2" s="2" t="s">
        <v>31</v>
      </c>
      <c r="X2" s="2" t="s">
        <v>32</v>
      </c>
    </row>
    <row r="3" spans="1:24" ht="12" customHeight="1">
      <c r="A3" s="2" t="s">
        <v>33</v>
      </c>
      <c r="B3" s="2" t="s">
        <v>34</v>
      </c>
      <c r="C3" s="2" t="s">
        <v>25</v>
      </c>
      <c r="D3" s="5">
        <v>62</v>
      </c>
      <c r="E3" s="6">
        <f>D3/SUM($D$2:$D$16)</f>
        <v>6.2E-2</v>
      </c>
      <c r="F3" s="7">
        <f t="shared" si="0"/>
        <v>6.2</v>
      </c>
      <c r="G3" s="8" t="s">
        <v>35</v>
      </c>
      <c r="H3" s="8">
        <v>30</v>
      </c>
      <c r="I3" s="8" t="s">
        <v>36</v>
      </c>
      <c r="J3" s="8" t="s">
        <v>37</v>
      </c>
      <c r="K3" s="3"/>
      <c r="L3" s="3"/>
      <c r="M3" s="3"/>
      <c r="N3" s="3"/>
      <c r="O3" s="3"/>
      <c r="P3" s="3">
        <v>15</v>
      </c>
      <c r="Q3" s="3"/>
      <c r="R3" s="3"/>
      <c r="S3" s="3"/>
      <c r="T3" s="4"/>
      <c r="U3" s="2" t="s">
        <v>38</v>
      </c>
      <c r="V3" s="2" t="s">
        <v>30</v>
      </c>
      <c r="W3" s="2" t="s">
        <v>31</v>
      </c>
      <c r="X3" s="2" t="s">
        <v>32</v>
      </c>
    </row>
    <row r="4" spans="1:24" ht="12" customHeight="1">
      <c r="A4" s="2" t="s">
        <v>39</v>
      </c>
      <c r="B4" s="2" t="s">
        <v>40</v>
      </c>
      <c r="C4" s="2" t="s">
        <v>25</v>
      </c>
      <c r="D4" s="5">
        <v>59</v>
      </c>
      <c r="E4" s="6">
        <f>D4/SUM($D$2:$D$16)</f>
        <v>5.8999999999999997E-2</v>
      </c>
      <c r="F4" s="7">
        <f t="shared" si="0"/>
        <v>5.8999999999999995</v>
      </c>
      <c r="G4" s="8" t="s">
        <v>41</v>
      </c>
      <c r="H4" s="8">
        <v>30</v>
      </c>
      <c r="I4" s="8" t="s">
        <v>42</v>
      </c>
      <c r="J4" s="8" t="s">
        <v>43</v>
      </c>
      <c r="K4" s="3"/>
      <c r="L4" s="3"/>
      <c r="M4" s="3"/>
      <c r="N4" s="3"/>
      <c r="O4" s="3"/>
      <c r="P4" s="3"/>
      <c r="Q4" s="3"/>
      <c r="R4" s="3">
        <v>30</v>
      </c>
      <c r="S4" s="3">
        <v>10</v>
      </c>
      <c r="T4" s="4"/>
      <c r="U4" s="2" t="s">
        <v>44</v>
      </c>
      <c r="V4" s="2" t="s">
        <v>30</v>
      </c>
      <c r="W4" s="2" t="s">
        <v>31</v>
      </c>
      <c r="X4" s="2" t="s">
        <v>32</v>
      </c>
    </row>
    <row r="5" spans="1:24" ht="12" customHeight="1">
      <c r="A5" s="2" t="s">
        <v>45</v>
      </c>
      <c r="B5" s="2" t="s">
        <v>46</v>
      </c>
      <c r="C5" s="2" t="s">
        <v>25</v>
      </c>
      <c r="D5" s="5">
        <v>74</v>
      </c>
      <c r="E5" s="6">
        <f>D5/SUM($D$2:$D$16)</f>
        <v>7.3999999999999996E-2</v>
      </c>
      <c r="F5" s="7">
        <f t="shared" si="0"/>
        <v>7.3999999999999995</v>
      </c>
      <c r="G5" s="8" t="s">
        <v>47</v>
      </c>
      <c r="H5" s="8">
        <v>0</v>
      </c>
      <c r="I5" s="8" t="s">
        <v>48</v>
      </c>
      <c r="J5" s="8" t="s">
        <v>49</v>
      </c>
      <c r="K5" s="3"/>
      <c r="L5" s="3"/>
      <c r="M5" s="3"/>
      <c r="N5" s="3"/>
      <c r="O5" s="3">
        <v>15</v>
      </c>
      <c r="P5" s="3"/>
      <c r="Q5" s="3"/>
      <c r="R5" s="3">
        <v>50</v>
      </c>
      <c r="S5" s="3"/>
      <c r="T5" s="4"/>
      <c r="U5" s="2" t="s">
        <v>50</v>
      </c>
      <c r="V5" s="2" t="s">
        <v>30</v>
      </c>
      <c r="W5" s="2" t="s">
        <v>31</v>
      </c>
      <c r="X5" s="2" t="s">
        <v>32</v>
      </c>
    </row>
    <row r="6" spans="1:24" ht="12" customHeight="1">
      <c r="A6" s="2" t="s">
        <v>51</v>
      </c>
      <c r="B6" s="2" t="s">
        <v>52</v>
      </c>
      <c r="C6" s="2" t="s">
        <v>25</v>
      </c>
      <c r="D6" s="5">
        <v>70</v>
      </c>
      <c r="E6" s="6">
        <f>D6/SUM($D$2:$D$16)</f>
        <v>7.0000000000000007E-2</v>
      </c>
      <c r="F6" s="7">
        <f t="shared" si="0"/>
        <v>7.0000000000000009</v>
      </c>
      <c r="G6" s="8" t="s">
        <v>53</v>
      </c>
      <c r="H6" s="8">
        <v>4</v>
      </c>
      <c r="I6" s="8" t="s">
        <v>54</v>
      </c>
      <c r="J6" s="8" t="s">
        <v>55</v>
      </c>
      <c r="K6" s="3">
        <v>0</v>
      </c>
      <c r="L6" s="3">
        <v>40</v>
      </c>
      <c r="M6" s="3"/>
      <c r="N6" s="3"/>
      <c r="O6" s="3"/>
      <c r="P6" s="3"/>
      <c r="Q6" s="3"/>
      <c r="R6" s="3"/>
      <c r="S6" s="3"/>
      <c r="T6" s="4"/>
      <c r="U6" s="2" t="s">
        <v>56</v>
      </c>
      <c r="V6" s="2" t="s">
        <v>30</v>
      </c>
      <c r="W6" s="2" t="s">
        <v>31</v>
      </c>
      <c r="X6" s="2" t="s">
        <v>32</v>
      </c>
    </row>
    <row r="7" spans="1:24" ht="12" customHeight="1">
      <c r="A7" s="2" t="s">
        <v>57</v>
      </c>
      <c r="B7" s="2" t="s">
        <v>58</v>
      </c>
      <c r="C7" s="2" t="s">
        <v>25</v>
      </c>
      <c r="D7" s="5">
        <v>56</v>
      </c>
      <c r="E7" s="6">
        <f>D7/SUM($D$2:$D$16)</f>
        <v>5.6000000000000001E-2</v>
      </c>
      <c r="F7" s="7">
        <f t="shared" si="0"/>
        <v>5.6000000000000005</v>
      </c>
      <c r="G7" s="8" t="s">
        <v>59</v>
      </c>
      <c r="H7" s="8">
        <v>16</v>
      </c>
      <c r="I7" s="8" t="s">
        <v>60</v>
      </c>
      <c r="J7" s="8" t="s">
        <v>37</v>
      </c>
      <c r="K7" s="3"/>
      <c r="L7" s="3"/>
      <c r="M7" s="3"/>
      <c r="N7" s="3"/>
      <c r="O7" s="3"/>
      <c r="P7" s="3"/>
      <c r="Q7" s="3">
        <v>20</v>
      </c>
      <c r="R7" s="3"/>
      <c r="S7" s="3"/>
      <c r="T7" s="4"/>
      <c r="U7" s="2" t="s">
        <v>61</v>
      </c>
      <c r="V7" s="2" t="s">
        <v>30</v>
      </c>
      <c r="W7" s="2" t="s">
        <v>31</v>
      </c>
      <c r="X7" s="2" t="s">
        <v>32</v>
      </c>
    </row>
    <row r="8" spans="1:24" ht="12" customHeight="1">
      <c r="A8" s="2" t="s">
        <v>62</v>
      </c>
      <c r="B8" s="2" t="s">
        <v>63</v>
      </c>
      <c r="C8" s="2" t="s">
        <v>25</v>
      </c>
      <c r="D8" s="5">
        <v>90</v>
      </c>
      <c r="E8" s="6">
        <f>D8/SUM($D$2:$D$16)</f>
        <v>0.09</v>
      </c>
      <c r="F8" s="7">
        <f t="shared" si="0"/>
        <v>9</v>
      </c>
      <c r="G8" s="8" t="s">
        <v>64</v>
      </c>
      <c r="H8" s="8">
        <v>4</v>
      </c>
      <c r="I8" s="8" t="s">
        <v>65</v>
      </c>
      <c r="J8" s="8" t="s">
        <v>66</v>
      </c>
      <c r="K8" s="3"/>
      <c r="L8" s="3"/>
      <c r="M8" s="3">
        <v>100</v>
      </c>
      <c r="N8" s="3">
        <v>50</v>
      </c>
      <c r="O8" s="3"/>
      <c r="P8" s="3"/>
      <c r="Q8" s="3"/>
      <c r="R8" s="3"/>
      <c r="S8" s="3"/>
      <c r="T8" s="4"/>
      <c r="U8" s="2" t="s">
        <v>67</v>
      </c>
      <c r="V8" s="2" t="s">
        <v>30</v>
      </c>
      <c r="W8" s="2" t="s">
        <v>31</v>
      </c>
      <c r="X8" s="2" t="s">
        <v>32</v>
      </c>
    </row>
    <row r="9" spans="1:24" ht="12" customHeight="1">
      <c r="A9" s="2" t="s">
        <v>68</v>
      </c>
      <c r="B9" s="2" t="s">
        <v>69</v>
      </c>
      <c r="C9" s="2" t="s">
        <v>70</v>
      </c>
      <c r="D9" s="5">
        <v>77</v>
      </c>
      <c r="E9" s="6">
        <f>D9/SUM($D$2:$D$16)</f>
        <v>7.6999999999999999E-2</v>
      </c>
      <c r="F9" s="7">
        <f t="shared" si="0"/>
        <v>7.7</v>
      </c>
      <c r="G9" s="8" t="s">
        <v>71</v>
      </c>
      <c r="H9" s="8">
        <v>30</v>
      </c>
      <c r="I9" s="8" t="s">
        <v>72</v>
      </c>
      <c r="J9" s="8" t="s">
        <v>73</v>
      </c>
      <c r="K9" s="3"/>
      <c r="L9" s="3"/>
      <c r="M9" s="3"/>
      <c r="N9" s="3"/>
      <c r="O9" s="3"/>
      <c r="P9" s="3"/>
      <c r="Q9" s="3"/>
      <c r="R9" s="3"/>
      <c r="S9" s="3"/>
      <c r="T9" s="4"/>
      <c r="U9" s="2" t="s">
        <v>74</v>
      </c>
      <c r="V9" s="2" t="s">
        <v>30</v>
      </c>
      <c r="W9" s="2" t="s">
        <v>31</v>
      </c>
      <c r="X9" s="2" t="s">
        <v>32</v>
      </c>
    </row>
    <row r="10" spans="1:24" ht="12" customHeight="1">
      <c r="A10" s="2" t="s">
        <v>75</v>
      </c>
      <c r="B10" s="2" t="s">
        <v>76</v>
      </c>
      <c r="C10" s="2" t="s">
        <v>70</v>
      </c>
      <c r="D10" s="5">
        <v>85</v>
      </c>
      <c r="E10" s="6">
        <f>D10/SUM($D$2:$D$16)</f>
        <v>8.5000000000000006E-2</v>
      </c>
      <c r="F10" s="7">
        <f t="shared" si="0"/>
        <v>8.5</v>
      </c>
      <c r="G10" s="8" t="s">
        <v>77</v>
      </c>
      <c r="H10" s="8">
        <v>4</v>
      </c>
      <c r="I10" s="8" t="s">
        <v>78</v>
      </c>
      <c r="J10" s="8" t="s">
        <v>79</v>
      </c>
      <c r="K10" s="3"/>
      <c r="L10" s="3"/>
      <c r="M10" s="3"/>
      <c r="N10" s="3"/>
      <c r="O10" s="3"/>
      <c r="P10" s="3"/>
      <c r="Q10" s="3"/>
      <c r="R10" s="3"/>
      <c r="S10" s="3"/>
      <c r="T10" s="4"/>
      <c r="U10" s="2" t="s">
        <v>80</v>
      </c>
      <c r="V10" s="2" t="s">
        <v>30</v>
      </c>
      <c r="W10" s="2" t="s">
        <v>31</v>
      </c>
      <c r="X10" s="2" t="s">
        <v>32</v>
      </c>
    </row>
    <row r="11" spans="1:24" ht="12" customHeight="1">
      <c r="A11" s="2" t="s">
        <v>81</v>
      </c>
      <c r="B11" s="2" t="s">
        <v>82</v>
      </c>
      <c r="C11" s="2" t="s">
        <v>25</v>
      </c>
      <c r="D11" s="5">
        <v>61</v>
      </c>
      <c r="E11" s="6">
        <f>D11/SUM($D$2:$D$16)</f>
        <v>6.0999999999999999E-2</v>
      </c>
      <c r="F11" s="7">
        <f t="shared" si="0"/>
        <v>6.1</v>
      </c>
      <c r="G11" s="8" t="s">
        <v>83</v>
      </c>
      <c r="H11" s="8">
        <v>30</v>
      </c>
      <c r="I11" s="8" t="s">
        <v>84</v>
      </c>
      <c r="J11" s="8" t="s">
        <v>85</v>
      </c>
      <c r="K11" s="3"/>
      <c r="L11" s="3"/>
      <c r="M11" s="3"/>
      <c r="N11" s="3"/>
      <c r="O11" s="3">
        <v>20</v>
      </c>
      <c r="P11" s="3"/>
      <c r="Q11" s="3"/>
      <c r="R11" s="3"/>
      <c r="S11" s="3"/>
      <c r="T11" s="4"/>
      <c r="U11" s="2" t="s">
        <v>86</v>
      </c>
      <c r="V11" s="2" t="s">
        <v>30</v>
      </c>
      <c r="W11" s="2" t="s">
        <v>31</v>
      </c>
      <c r="X11" s="2" t="s">
        <v>32</v>
      </c>
    </row>
    <row r="12" spans="1:24" ht="12" customHeight="1">
      <c r="A12" s="2" t="s">
        <v>87</v>
      </c>
      <c r="B12" s="2" t="s">
        <v>88</v>
      </c>
      <c r="C12" s="2" t="s">
        <v>25</v>
      </c>
      <c r="D12" s="5">
        <v>78</v>
      </c>
      <c r="E12" s="6">
        <f>D12/SUM($D$2:$D$16)</f>
        <v>7.8E-2</v>
      </c>
      <c r="F12" s="7">
        <f t="shared" si="0"/>
        <v>7.8</v>
      </c>
      <c r="G12" s="8" t="s">
        <v>89</v>
      </c>
      <c r="H12" s="8">
        <v>12</v>
      </c>
      <c r="I12" s="8" t="s">
        <v>90</v>
      </c>
      <c r="J12" s="8" t="s">
        <v>90</v>
      </c>
      <c r="K12" s="3"/>
      <c r="L12" s="3"/>
      <c r="M12" s="3"/>
      <c r="N12" s="3"/>
      <c r="O12" s="3"/>
      <c r="P12" s="3"/>
      <c r="Q12" s="3"/>
      <c r="R12" s="3"/>
      <c r="S12" s="3"/>
      <c r="T12" s="4"/>
      <c r="U12" s="2" t="s">
        <v>91</v>
      </c>
      <c r="V12" s="2" t="s">
        <v>30</v>
      </c>
      <c r="W12" s="2" t="s">
        <v>31</v>
      </c>
      <c r="X12" s="2" t="s">
        <v>32</v>
      </c>
    </row>
    <row r="13" spans="1:24" ht="12" customHeight="1">
      <c r="A13" s="2" t="s">
        <v>92</v>
      </c>
      <c r="B13" s="2" t="s">
        <v>93</v>
      </c>
      <c r="C13" s="2" t="s">
        <v>25</v>
      </c>
      <c r="D13" s="5">
        <v>69</v>
      </c>
      <c r="E13" s="6">
        <f>D13/SUM($D$2:$D$16)</f>
        <v>6.9000000000000006E-2</v>
      </c>
      <c r="F13" s="7">
        <f t="shared" si="0"/>
        <v>6.9</v>
      </c>
      <c r="G13" s="8" t="s">
        <v>94</v>
      </c>
      <c r="H13" s="8">
        <v>0</v>
      </c>
      <c r="I13" s="8" t="s">
        <v>95</v>
      </c>
      <c r="J13" s="8" t="s">
        <v>96</v>
      </c>
      <c r="K13" s="3"/>
      <c r="L13" s="3"/>
      <c r="M13" s="3"/>
      <c r="N13" s="3"/>
      <c r="O13" s="3"/>
      <c r="P13" s="3"/>
      <c r="Q13" s="3"/>
      <c r="R13" s="3"/>
      <c r="S13" s="3"/>
      <c r="T13" s="4">
        <v>1</v>
      </c>
      <c r="U13" s="2" t="s">
        <v>97</v>
      </c>
      <c r="V13" s="2" t="s">
        <v>30</v>
      </c>
      <c r="W13" s="2" t="s">
        <v>31</v>
      </c>
      <c r="X13" s="2" t="s">
        <v>32</v>
      </c>
    </row>
    <row r="14" spans="1:24" ht="12" customHeight="1">
      <c r="A14" s="2" t="s">
        <v>98</v>
      </c>
      <c r="B14" s="2" t="s">
        <v>99</v>
      </c>
      <c r="C14" s="2" t="s">
        <v>25</v>
      </c>
      <c r="D14" s="5">
        <v>30</v>
      </c>
      <c r="E14" s="6">
        <f>D14/SUM($D$2:$D$16)</f>
        <v>0.03</v>
      </c>
      <c r="F14" s="7">
        <f t="shared" si="0"/>
        <v>3</v>
      </c>
      <c r="G14" s="8" t="s">
        <v>100</v>
      </c>
      <c r="H14" s="8">
        <v>0</v>
      </c>
      <c r="I14" s="8" t="s">
        <v>101</v>
      </c>
      <c r="J14" s="8" t="s">
        <v>102</v>
      </c>
      <c r="K14" s="3"/>
      <c r="L14" s="3"/>
      <c r="M14" s="3"/>
      <c r="N14" s="3"/>
      <c r="O14" s="3"/>
      <c r="P14" s="3"/>
      <c r="Q14" s="3"/>
      <c r="R14" s="3"/>
      <c r="S14" s="3"/>
      <c r="T14" s="4">
        <v>2</v>
      </c>
      <c r="U14" s="2" t="s">
        <v>103</v>
      </c>
      <c r="V14" s="2" t="s">
        <v>30</v>
      </c>
      <c r="W14" s="2" t="s">
        <v>31</v>
      </c>
      <c r="X14" s="2" t="s">
        <v>32</v>
      </c>
    </row>
    <row r="15" spans="1:24" ht="12" customHeight="1">
      <c r="A15" s="2" t="s">
        <v>104</v>
      </c>
      <c r="B15" s="2" t="s">
        <v>105</v>
      </c>
      <c r="C15" s="2" t="s">
        <v>25</v>
      </c>
      <c r="D15" s="5">
        <v>59</v>
      </c>
      <c r="E15" s="6">
        <f>D15/SUM($D$2:$D$16)</f>
        <v>5.8999999999999997E-2</v>
      </c>
      <c r="F15" s="7">
        <f t="shared" si="0"/>
        <v>5.8999999999999995</v>
      </c>
      <c r="G15" s="8" t="s">
        <v>106</v>
      </c>
      <c r="H15" s="8">
        <v>0</v>
      </c>
      <c r="I15" s="8" t="s">
        <v>107</v>
      </c>
      <c r="J15" s="8" t="s">
        <v>108</v>
      </c>
      <c r="K15" s="3"/>
      <c r="L15" s="3"/>
      <c r="M15" s="3"/>
      <c r="N15" s="3"/>
      <c r="O15" s="3">
        <v>100</v>
      </c>
      <c r="P15" s="3"/>
      <c r="Q15" s="3"/>
      <c r="R15" s="3"/>
      <c r="S15" s="3"/>
      <c r="T15" s="4"/>
      <c r="U15" s="2" t="s">
        <v>109</v>
      </c>
      <c r="V15" s="2" t="s">
        <v>30</v>
      </c>
      <c r="W15" s="2" t="s">
        <v>31</v>
      </c>
      <c r="X15" s="2" t="s">
        <v>32</v>
      </c>
    </row>
    <row r="16" spans="1:24" ht="12" customHeight="1">
      <c r="A16" s="2" t="s">
        <v>110</v>
      </c>
      <c r="B16" s="2" t="s">
        <v>111</v>
      </c>
      <c r="C16" s="2" t="s">
        <v>112</v>
      </c>
      <c r="D16" s="5">
        <v>79</v>
      </c>
      <c r="E16" s="6">
        <f t="shared" ref="E16" si="1">D16/SUM($D$2:$D$16)</f>
        <v>7.9000000000000001E-2</v>
      </c>
      <c r="F16" s="7">
        <f t="shared" si="0"/>
        <v>7.9</v>
      </c>
      <c r="G16" s="8" t="s">
        <v>113</v>
      </c>
      <c r="H16" s="8">
        <v>0</v>
      </c>
      <c r="I16" s="8" t="s">
        <v>114</v>
      </c>
      <c r="J16" s="8" t="s">
        <v>115</v>
      </c>
      <c r="K16" s="3"/>
      <c r="L16" s="3"/>
      <c r="M16" s="3"/>
      <c r="N16" s="3"/>
      <c r="O16" s="3"/>
      <c r="P16" s="3"/>
      <c r="Q16" s="3"/>
      <c r="R16" s="3"/>
      <c r="S16" s="3"/>
      <c r="T16" s="4">
        <v>1</v>
      </c>
      <c r="U16" s="2" t="s">
        <v>116</v>
      </c>
      <c r="V16" s="2" t="s">
        <v>30</v>
      </c>
      <c r="W16" s="2" t="s">
        <v>31</v>
      </c>
      <c r="X16" s="2" t="s">
        <v>32</v>
      </c>
    </row>
    <row r="17" spans="5:5">
      <c r="E17" s="11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7"/>
  <sheetViews>
    <sheetView zoomScale="145" zoomScaleNormal="145" workbookViewId="0">
      <selection activeCell="B27" sqref="B27"/>
    </sheetView>
  </sheetViews>
  <sheetFormatPr defaultRowHeight="14.25"/>
  <cols>
    <col min="1" max="1" width="22" customWidth="1"/>
    <col min="2" max="2" width="14" customWidth="1"/>
    <col min="3" max="3" width="16" customWidth="1"/>
    <col min="4" max="4" width="10" customWidth="1"/>
    <col min="5" max="5" width="11" customWidth="1"/>
    <col min="6" max="6" width="13.25" customWidth="1"/>
    <col min="7" max="7" width="58" customWidth="1"/>
    <col min="8" max="8" width="11" customWidth="1"/>
    <col min="9" max="9" width="18" customWidth="1"/>
    <col min="10" max="10" width="20" customWidth="1"/>
    <col min="11" max="12" width="13" customWidth="1"/>
    <col min="13" max="13" width="16" customWidth="1"/>
    <col min="14" max="14" width="15" customWidth="1"/>
    <col min="15" max="15" width="13" customWidth="1"/>
    <col min="16" max="16" width="14" customWidth="1"/>
    <col min="17" max="18" width="12" customWidth="1"/>
    <col min="19" max="19" width="14" customWidth="1"/>
    <col min="20" max="20" width="13" customWidth="1"/>
    <col min="21" max="24" width="42" customWidth="1"/>
  </cols>
  <sheetData>
    <row r="1" spans="1:24" ht="12" customHeight="1">
      <c r="A1" s="1" t="s">
        <v>0</v>
      </c>
      <c r="B1" s="1" t="s">
        <v>1</v>
      </c>
      <c r="C1" s="10" t="s">
        <v>2</v>
      </c>
      <c r="D1" s="10" t="s">
        <v>3</v>
      </c>
      <c r="E1" s="10" t="s">
        <v>4</v>
      </c>
      <c r="F1" s="10" t="s">
        <v>136</v>
      </c>
      <c r="G1" s="10" t="s">
        <v>5</v>
      </c>
      <c r="H1" s="10" t="s">
        <v>6</v>
      </c>
      <c r="I1" s="10" t="s">
        <v>7</v>
      </c>
      <c r="J1" s="10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ht="12" customHeight="1">
      <c r="A2" s="2" t="s">
        <v>23</v>
      </c>
      <c r="B2" s="2" t="s">
        <v>24</v>
      </c>
      <c r="C2" s="2" t="s">
        <v>25</v>
      </c>
      <c r="D2" s="5">
        <v>43</v>
      </c>
      <c r="E2" s="6">
        <f t="shared" ref="E2:E17" si="0">D2/SUM($D$2:$D$17)</f>
        <v>4.2999999999999997E-2</v>
      </c>
      <c r="F2" s="7">
        <f t="shared" ref="F2:F17" si="1">E2*100</f>
        <v>4.3</v>
      </c>
      <c r="G2" s="8" t="s">
        <v>26</v>
      </c>
      <c r="H2" s="8">
        <v>16</v>
      </c>
      <c r="I2" s="8" t="s">
        <v>27</v>
      </c>
      <c r="J2" s="8" t="s">
        <v>28</v>
      </c>
      <c r="K2" s="3">
        <v>100</v>
      </c>
      <c r="L2" s="3">
        <v>100</v>
      </c>
      <c r="M2" s="3"/>
      <c r="N2" s="3"/>
      <c r="O2" s="3"/>
      <c r="P2" s="3"/>
      <c r="Q2" s="3"/>
      <c r="R2" s="3"/>
      <c r="S2" s="3"/>
      <c r="T2" s="4"/>
      <c r="U2" s="2" t="s">
        <v>29</v>
      </c>
      <c r="V2" s="2" t="s">
        <v>117</v>
      </c>
      <c r="W2" s="2" t="s">
        <v>31</v>
      </c>
      <c r="X2" s="2" t="s">
        <v>32</v>
      </c>
    </row>
    <row r="3" spans="1:24" ht="12" customHeight="1">
      <c r="A3" s="2" t="s">
        <v>33</v>
      </c>
      <c r="B3" s="2" t="s">
        <v>34</v>
      </c>
      <c r="C3" s="2" t="s">
        <v>25</v>
      </c>
      <c r="D3" s="5">
        <v>50</v>
      </c>
      <c r="E3" s="6">
        <f t="shared" si="0"/>
        <v>0.05</v>
      </c>
      <c r="F3" s="7">
        <f t="shared" si="1"/>
        <v>5</v>
      </c>
      <c r="G3" s="8" t="s">
        <v>35</v>
      </c>
      <c r="H3" s="8">
        <v>30</v>
      </c>
      <c r="I3" s="8" t="s">
        <v>36</v>
      </c>
      <c r="J3" s="8" t="s">
        <v>37</v>
      </c>
      <c r="K3" s="3"/>
      <c r="L3" s="3"/>
      <c r="M3" s="3"/>
      <c r="N3" s="3"/>
      <c r="O3" s="3"/>
      <c r="P3" s="3">
        <v>15</v>
      </c>
      <c r="Q3" s="3"/>
      <c r="R3" s="3"/>
      <c r="S3" s="3"/>
      <c r="T3" s="4"/>
      <c r="U3" s="2" t="s">
        <v>38</v>
      </c>
      <c r="V3" s="2" t="s">
        <v>117</v>
      </c>
      <c r="W3" s="2" t="s">
        <v>31</v>
      </c>
      <c r="X3" s="2" t="s">
        <v>32</v>
      </c>
    </row>
    <row r="4" spans="1:24" ht="12" customHeight="1">
      <c r="A4" s="2" t="s">
        <v>39</v>
      </c>
      <c r="B4" s="2" t="s">
        <v>40</v>
      </c>
      <c r="C4" s="2" t="s">
        <v>25</v>
      </c>
      <c r="D4" s="5">
        <v>54</v>
      </c>
      <c r="E4" s="6">
        <f t="shared" si="0"/>
        <v>5.3999999999999999E-2</v>
      </c>
      <c r="F4" s="7">
        <f t="shared" si="1"/>
        <v>5.4</v>
      </c>
      <c r="G4" s="8" t="s">
        <v>41</v>
      </c>
      <c r="H4" s="8">
        <v>30</v>
      </c>
      <c r="I4" s="8" t="s">
        <v>42</v>
      </c>
      <c r="J4" s="8" t="s">
        <v>43</v>
      </c>
      <c r="K4" s="3"/>
      <c r="L4" s="3"/>
      <c r="M4" s="3"/>
      <c r="N4" s="3"/>
      <c r="O4" s="3"/>
      <c r="P4" s="3"/>
      <c r="Q4" s="3"/>
      <c r="R4" s="3">
        <v>30</v>
      </c>
      <c r="S4" s="3">
        <v>10</v>
      </c>
      <c r="T4" s="4"/>
      <c r="U4" s="2" t="s">
        <v>44</v>
      </c>
      <c r="V4" s="2" t="s">
        <v>117</v>
      </c>
      <c r="W4" s="2" t="s">
        <v>31</v>
      </c>
      <c r="X4" s="2" t="s">
        <v>32</v>
      </c>
    </row>
    <row r="5" spans="1:24" ht="12" customHeight="1">
      <c r="A5" s="2" t="s">
        <v>45</v>
      </c>
      <c r="B5" s="2" t="s">
        <v>46</v>
      </c>
      <c r="C5" s="2" t="s">
        <v>25</v>
      </c>
      <c r="D5" s="5">
        <v>50</v>
      </c>
      <c r="E5" s="6">
        <f t="shared" si="0"/>
        <v>0.05</v>
      </c>
      <c r="F5" s="7">
        <f t="shared" si="1"/>
        <v>5</v>
      </c>
      <c r="G5" s="8" t="s">
        <v>47</v>
      </c>
      <c r="H5" s="8">
        <v>0</v>
      </c>
      <c r="I5" s="8" t="s">
        <v>48</v>
      </c>
      <c r="J5" s="8" t="s">
        <v>49</v>
      </c>
      <c r="K5" s="3"/>
      <c r="L5" s="3"/>
      <c r="M5" s="3"/>
      <c r="N5" s="3"/>
      <c r="O5" s="3">
        <v>15</v>
      </c>
      <c r="P5" s="3"/>
      <c r="Q5" s="3"/>
      <c r="R5" s="3">
        <v>50</v>
      </c>
      <c r="S5" s="3"/>
      <c r="T5" s="4"/>
      <c r="U5" s="2" t="s">
        <v>50</v>
      </c>
      <c r="V5" s="2" t="s">
        <v>117</v>
      </c>
      <c r="W5" s="2" t="s">
        <v>31</v>
      </c>
      <c r="X5" s="2" t="s">
        <v>32</v>
      </c>
    </row>
    <row r="6" spans="1:24" ht="12" customHeight="1">
      <c r="A6" s="2" t="s">
        <v>51</v>
      </c>
      <c r="B6" s="2" t="s">
        <v>52</v>
      </c>
      <c r="C6" s="2" t="s">
        <v>25</v>
      </c>
      <c r="D6" s="5">
        <v>74</v>
      </c>
      <c r="E6" s="6">
        <f t="shared" si="0"/>
        <v>7.3999999999999996E-2</v>
      </c>
      <c r="F6" s="7">
        <f>E6*100</f>
        <v>7.3999999999999995</v>
      </c>
      <c r="G6" s="8" t="s">
        <v>53</v>
      </c>
      <c r="H6" s="8">
        <v>4</v>
      </c>
      <c r="I6" s="8" t="s">
        <v>54</v>
      </c>
      <c r="J6" s="8" t="s">
        <v>55</v>
      </c>
      <c r="K6" s="3">
        <v>0</v>
      </c>
      <c r="L6" s="3">
        <v>40</v>
      </c>
      <c r="M6" s="3"/>
      <c r="N6" s="3"/>
      <c r="O6" s="3"/>
      <c r="P6" s="3"/>
      <c r="Q6" s="3"/>
      <c r="R6" s="3"/>
      <c r="S6" s="3"/>
      <c r="T6" s="4"/>
      <c r="U6" s="2" t="s">
        <v>56</v>
      </c>
      <c r="V6" s="2" t="s">
        <v>117</v>
      </c>
      <c r="W6" s="2" t="s">
        <v>31</v>
      </c>
      <c r="X6" s="2" t="s">
        <v>32</v>
      </c>
    </row>
    <row r="7" spans="1:24" ht="12" customHeight="1">
      <c r="A7" s="2" t="s">
        <v>57</v>
      </c>
      <c r="B7" s="2" t="s">
        <v>58</v>
      </c>
      <c r="C7" s="2" t="s">
        <v>25</v>
      </c>
      <c r="D7" s="5">
        <v>55</v>
      </c>
      <c r="E7" s="6">
        <f t="shared" si="0"/>
        <v>5.5E-2</v>
      </c>
      <c r="F7" s="7">
        <f t="shared" si="1"/>
        <v>5.5</v>
      </c>
      <c r="G7" s="8" t="s">
        <v>59</v>
      </c>
      <c r="H7" s="8">
        <v>16</v>
      </c>
      <c r="I7" s="8" t="s">
        <v>60</v>
      </c>
      <c r="J7" s="8" t="s">
        <v>37</v>
      </c>
      <c r="K7" s="3"/>
      <c r="L7" s="3"/>
      <c r="M7" s="3"/>
      <c r="N7" s="3"/>
      <c r="O7" s="3"/>
      <c r="P7" s="3"/>
      <c r="Q7" s="3">
        <v>20</v>
      </c>
      <c r="R7" s="3"/>
      <c r="S7" s="3"/>
      <c r="T7" s="4"/>
      <c r="U7" s="2" t="s">
        <v>61</v>
      </c>
      <c r="V7" s="2" t="s">
        <v>117</v>
      </c>
      <c r="W7" s="2" t="s">
        <v>31</v>
      </c>
      <c r="X7" s="2" t="s">
        <v>32</v>
      </c>
    </row>
    <row r="8" spans="1:24" ht="12" customHeight="1">
      <c r="A8" s="2" t="s">
        <v>62</v>
      </c>
      <c r="B8" s="2" t="s">
        <v>63</v>
      </c>
      <c r="C8" s="2" t="s">
        <v>25</v>
      </c>
      <c r="D8" s="5">
        <v>50</v>
      </c>
      <c r="E8" s="6">
        <f t="shared" si="0"/>
        <v>0.05</v>
      </c>
      <c r="F8" s="7">
        <f t="shared" si="1"/>
        <v>5</v>
      </c>
      <c r="G8" s="8" t="s">
        <v>64</v>
      </c>
      <c r="H8" s="8">
        <v>4</v>
      </c>
      <c r="I8" s="8" t="s">
        <v>65</v>
      </c>
      <c r="J8" s="8" t="s">
        <v>66</v>
      </c>
      <c r="K8" s="3"/>
      <c r="L8" s="3"/>
      <c r="M8" s="3">
        <v>100</v>
      </c>
      <c r="N8" s="3">
        <v>50</v>
      </c>
      <c r="O8" s="3"/>
      <c r="P8" s="3"/>
      <c r="Q8" s="3"/>
      <c r="R8" s="3"/>
      <c r="S8" s="3"/>
      <c r="T8" s="4"/>
      <c r="U8" s="2" t="s">
        <v>67</v>
      </c>
      <c r="V8" s="2" t="s">
        <v>117</v>
      </c>
      <c r="W8" s="2" t="s">
        <v>31</v>
      </c>
      <c r="X8" s="2" t="s">
        <v>32</v>
      </c>
    </row>
    <row r="9" spans="1:24" ht="12" customHeight="1">
      <c r="A9" s="2" t="s">
        <v>81</v>
      </c>
      <c r="B9" s="2" t="s">
        <v>82</v>
      </c>
      <c r="C9" s="2" t="s">
        <v>25</v>
      </c>
      <c r="D9" s="5">
        <v>56</v>
      </c>
      <c r="E9" s="6">
        <f t="shared" si="0"/>
        <v>5.6000000000000001E-2</v>
      </c>
      <c r="F9" s="7">
        <f t="shared" si="1"/>
        <v>5.6000000000000005</v>
      </c>
      <c r="G9" s="8" t="s">
        <v>83</v>
      </c>
      <c r="H9" s="8">
        <v>30</v>
      </c>
      <c r="I9" s="8" t="s">
        <v>84</v>
      </c>
      <c r="J9" s="8" t="s">
        <v>85</v>
      </c>
      <c r="K9" s="3"/>
      <c r="L9" s="3"/>
      <c r="M9" s="3"/>
      <c r="N9" s="3"/>
      <c r="O9" s="3">
        <v>20</v>
      </c>
      <c r="P9" s="3"/>
      <c r="Q9" s="3"/>
      <c r="R9" s="3"/>
      <c r="S9" s="3"/>
      <c r="T9" s="4"/>
      <c r="U9" s="2" t="s">
        <v>86</v>
      </c>
      <c r="V9" s="2" t="s">
        <v>117</v>
      </c>
      <c r="W9" s="2" t="s">
        <v>31</v>
      </c>
      <c r="X9" s="2" t="s">
        <v>32</v>
      </c>
    </row>
    <row r="10" spans="1:24" ht="12" customHeight="1">
      <c r="A10" s="2" t="s">
        <v>87</v>
      </c>
      <c r="B10" s="2" t="s">
        <v>88</v>
      </c>
      <c r="C10" s="2" t="s">
        <v>25</v>
      </c>
      <c r="D10" s="5">
        <v>63</v>
      </c>
      <c r="E10" s="6">
        <f t="shared" si="0"/>
        <v>6.3E-2</v>
      </c>
      <c r="F10" s="7">
        <f t="shared" si="1"/>
        <v>6.3</v>
      </c>
      <c r="G10" s="8" t="s">
        <v>89</v>
      </c>
      <c r="H10" s="8">
        <v>12</v>
      </c>
      <c r="I10" s="8" t="s">
        <v>90</v>
      </c>
      <c r="J10" s="8" t="s">
        <v>90</v>
      </c>
      <c r="K10" s="3"/>
      <c r="L10" s="3"/>
      <c r="M10" s="3"/>
      <c r="N10" s="3"/>
      <c r="O10" s="3"/>
      <c r="P10" s="3"/>
      <c r="Q10" s="3"/>
      <c r="R10" s="3"/>
      <c r="S10" s="3"/>
      <c r="T10" s="4"/>
      <c r="U10" s="2" t="s">
        <v>91</v>
      </c>
      <c r="V10" s="2" t="s">
        <v>117</v>
      </c>
      <c r="W10" s="2" t="s">
        <v>31</v>
      </c>
      <c r="X10" s="2" t="s">
        <v>32</v>
      </c>
    </row>
    <row r="11" spans="1:24" ht="12" customHeight="1">
      <c r="A11" s="2" t="s">
        <v>92</v>
      </c>
      <c r="B11" s="2" t="s">
        <v>93</v>
      </c>
      <c r="C11" s="2" t="s">
        <v>25</v>
      </c>
      <c r="D11" s="5">
        <v>67</v>
      </c>
      <c r="E11" s="6">
        <f t="shared" si="0"/>
        <v>6.7000000000000004E-2</v>
      </c>
      <c r="F11" s="7">
        <f t="shared" si="1"/>
        <v>6.7</v>
      </c>
      <c r="G11" s="8" t="s">
        <v>94</v>
      </c>
      <c r="H11" s="8">
        <v>0</v>
      </c>
      <c r="I11" s="8" t="s">
        <v>95</v>
      </c>
      <c r="J11" s="8" t="s">
        <v>96</v>
      </c>
      <c r="K11" s="3"/>
      <c r="L11" s="3"/>
      <c r="M11" s="3"/>
      <c r="N11" s="3"/>
      <c r="O11" s="3"/>
      <c r="P11" s="3"/>
      <c r="Q11" s="3"/>
      <c r="R11" s="3"/>
      <c r="S11" s="3"/>
      <c r="T11" s="4">
        <v>1</v>
      </c>
      <c r="U11" s="2" t="s">
        <v>97</v>
      </c>
      <c r="V11" s="2" t="s">
        <v>117</v>
      </c>
      <c r="W11" s="2" t="s">
        <v>31</v>
      </c>
      <c r="X11" s="2" t="s">
        <v>32</v>
      </c>
    </row>
    <row r="12" spans="1:24" ht="12" customHeight="1">
      <c r="A12" s="2" t="s">
        <v>98</v>
      </c>
      <c r="B12" s="2" t="s">
        <v>99</v>
      </c>
      <c r="C12" s="2" t="s">
        <v>25</v>
      </c>
      <c r="D12" s="5">
        <v>22</v>
      </c>
      <c r="E12" s="6">
        <f t="shared" si="0"/>
        <v>2.1999999999999999E-2</v>
      </c>
      <c r="F12" s="7">
        <f t="shared" si="1"/>
        <v>2.1999999999999997</v>
      </c>
      <c r="G12" s="8" t="s">
        <v>100</v>
      </c>
      <c r="H12" s="8">
        <v>0</v>
      </c>
      <c r="I12" s="8" t="s">
        <v>101</v>
      </c>
      <c r="J12" s="8" t="s">
        <v>102</v>
      </c>
      <c r="K12" s="3"/>
      <c r="L12" s="3"/>
      <c r="M12" s="3"/>
      <c r="N12" s="3"/>
      <c r="O12" s="3"/>
      <c r="P12" s="3"/>
      <c r="Q12" s="3"/>
      <c r="R12" s="3"/>
      <c r="S12" s="3"/>
      <c r="T12" s="4">
        <v>2</v>
      </c>
      <c r="U12" s="2" t="s">
        <v>103</v>
      </c>
      <c r="V12" s="2" t="s">
        <v>117</v>
      </c>
      <c r="W12" s="2" t="s">
        <v>31</v>
      </c>
      <c r="X12" s="2" t="s">
        <v>32</v>
      </c>
    </row>
    <row r="13" spans="1:24" ht="12" customHeight="1">
      <c r="A13" s="2" t="s">
        <v>104</v>
      </c>
      <c r="B13" s="2" t="s">
        <v>105</v>
      </c>
      <c r="C13" s="2" t="s">
        <v>25</v>
      </c>
      <c r="D13" s="5">
        <v>59</v>
      </c>
      <c r="E13" s="6">
        <f t="shared" si="0"/>
        <v>5.8999999999999997E-2</v>
      </c>
      <c r="F13" s="7">
        <f t="shared" si="1"/>
        <v>5.8999999999999995</v>
      </c>
      <c r="G13" s="8" t="s">
        <v>106</v>
      </c>
      <c r="H13" s="8">
        <v>0</v>
      </c>
      <c r="I13" s="8" t="s">
        <v>107</v>
      </c>
      <c r="J13" s="8" t="s">
        <v>108</v>
      </c>
      <c r="K13" s="3"/>
      <c r="L13" s="3"/>
      <c r="M13" s="3"/>
      <c r="N13" s="3"/>
      <c r="O13" s="3">
        <v>100</v>
      </c>
      <c r="P13" s="3"/>
      <c r="Q13" s="3"/>
      <c r="R13" s="3"/>
      <c r="S13" s="3"/>
      <c r="T13" s="4"/>
      <c r="U13" s="2" t="s">
        <v>109</v>
      </c>
      <c r="V13" s="2" t="s">
        <v>117</v>
      </c>
      <c r="W13" s="2" t="s">
        <v>31</v>
      </c>
      <c r="X13" s="2" t="s">
        <v>32</v>
      </c>
    </row>
    <row r="14" spans="1:24" ht="12" customHeight="1">
      <c r="A14" s="2" t="s">
        <v>118</v>
      </c>
      <c r="B14" s="2" t="s">
        <v>119</v>
      </c>
      <c r="C14" s="2" t="s">
        <v>120</v>
      </c>
      <c r="D14" s="5">
        <v>154</v>
      </c>
      <c r="E14" s="6">
        <f t="shared" si="0"/>
        <v>0.154</v>
      </c>
      <c r="F14" s="7">
        <f t="shared" si="1"/>
        <v>15.4</v>
      </c>
      <c r="G14" s="8" t="s">
        <v>121</v>
      </c>
      <c r="H14" s="8">
        <v>0</v>
      </c>
      <c r="I14" s="8" t="s">
        <v>122</v>
      </c>
      <c r="J14" s="8" t="s">
        <v>123</v>
      </c>
      <c r="K14" s="3"/>
      <c r="L14" s="3"/>
      <c r="M14" s="3"/>
      <c r="N14" s="3"/>
      <c r="O14" s="3"/>
      <c r="P14" s="3"/>
      <c r="Q14" s="3"/>
      <c r="R14" s="3"/>
      <c r="S14" s="3"/>
      <c r="T14" s="4"/>
      <c r="U14" s="2" t="s">
        <v>124</v>
      </c>
      <c r="V14" s="2" t="s">
        <v>117</v>
      </c>
      <c r="W14" s="2" t="s">
        <v>31</v>
      </c>
      <c r="X14" s="2" t="s">
        <v>32</v>
      </c>
    </row>
    <row r="15" spans="1:24" ht="12" customHeight="1">
      <c r="A15" s="2" t="s">
        <v>125</v>
      </c>
      <c r="B15" s="2" t="s">
        <v>126</v>
      </c>
      <c r="C15" s="2" t="s">
        <v>120</v>
      </c>
      <c r="D15" s="5">
        <v>64</v>
      </c>
      <c r="E15" s="6">
        <f t="shared" si="0"/>
        <v>6.4000000000000001E-2</v>
      </c>
      <c r="F15" s="7">
        <f t="shared" si="1"/>
        <v>6.4</v>
      </c>
      <c r="G15" s="8" t="s">
        <v>127</v>
      </c>
      <c r="H15" s="8">
        <v>12</v>
      </c>
      <c r="I15" s="8" t="s">
        <v>128</v>
      </c>
      <c r="J15" s="8" t="s">
        <v>129</v>
      </c>
      <c r="K15" s="3"/>
      <c r="L15" s="3"/>
      <c r="M15" s="3">
        <v>20</v>
      </c>
      <c r="N15" s="3"/>
      <c r="O15" s="3"/>
      <c r="P15" s="3"/>
      <c r="Q15" s="3"/>
      <c r="R15" s="3"/>
      <c r="S15" s="3"/>
      <c r="T15" s="4"/>
      <c r="U15" s="2" t="s">
        <v>130</v>
      </c>
      <c r="V15" s="2" t="s">
        <v>117</v>
      </c>
      <c r="W15" s="2" t="s">
        <v>31</v>
      </c>
      <c r="X15" s="2" t="s">
        <v>32</v>
      </c>
    </row>
    <row r="16" spans="1:24" ht="12" customHeight="1">
      <c r="A16" s="2" t="s">
        <v>131</v>
      </c>
      <c r="B16" s="2" t="s">
        <v>132</v>
      </c>
      <c r="C16" s="2" t="s">
        <v>120</v>
      </c>
      <c r="D16" s="5">
        <v>64</v>
      </c>
      <c r="E16" s="6">
        <f t="shared" si="0"/>
        <v>6.4000000000000001E-2</v>
      </c>
      <c r="F16" s="7">
        <f t="shared" si="1"/>
        <v>6.4</v>
      </c>
      <c r="G16" s="8" t="s">
        <v>133</v>
      </c>
      <c r="H16" s="8">
        <v>4</v>
      </c>
      <c r="I16" s="8" t="s">
        <v>134</v>
      </c>
      <c r="J16" s="8" t="s">
        <v>129</v>
      </c>
      <c r="K16" s="3">
        <v>50</v>
      </c>
      <c r="L16" s="3">
        <v>50</v>
      </c>
      <c r="M16" s="3"/>
      <c r="N16" s="3"/>
      <c r="O16" s="3"/>
      <c r="P16" s="3"/>
      <c r="Q16" s="3"/>
      <c r="R16" s="3"/>
      <c r="S16" s="3"/>
      <c r="T16" s="4"/>
      <c r="U16" s="2" t="s">
        <v>135</v>
      </c>
      <c r="V16" s="2" t="s">
        <v>117</v>
      </c>
      <c r="W16" s="2" t="s">
        <v>31</v>
      </c>
      <c r="X16" s="2" t="s">
        <v>32</v>
      </c>
    </row>
    <row r="17" spans="1:24" ht="12" customHeight="1">
      <c r="A17" s="2" t="s">
        <v>110</v>
      </c>
      <c r="B17" s="2" t="s">
        <v>137</v>
      </c>
      <c r="C17" s="2" t="s">
        <v>112</v>
      </c>
      <c r="D17" s="5">
        <v>75</v>
      </c>
      <c r="E17" s="6">
        <f t="shared" si="0"/>
        <v>7.4999999999999997E-2</v>
      </c>
      <c r="F17" s="7">
        <f t="shared" si="1"/>
        <v>7.5</v>
      </c>
      <c r="G17" s="8" t="s">
        <v>113</v>
      </c>
      <c r="H17" s="8">
        <v>0</v>
      </c>
      <c r="I17" s="8" t="s">
        <v>114</v>
      </c>
      <c r="J17" s="8" t="s">
        <v>115</v>
      </c>
      <c r="K17" s="3"/>
      <c r="L17" s="3"/>
      <c r="M17" s="3"/>
      <c r="N17" s="3"/>
      <c r="O17" s="3"/>
      <c r="P17" s="3"/>
      <c r="Q17" s="3"/>
      <c r="R17" s="3"/>
      <c r="S17" s="3"/>
      <c r="T17" s="4">
        <v>1</v>
      </c>
      <c r="U17" s="2" t="s">
        <v>116</v>
      </c>
      <c r="V17" s="2" t="s">
        <v>117</v>
      </c>
      <c r="W17" s="2" t="s">
        <v>31</v>
      </c>
      <c r="X17" s="2" t="s">
        <v>32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황후의 은총</vt:lpstr>
      <vt:lpstr>황제의 칙령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Nho</cp:lastModifiedBy>
  <dcterms:modified xsi:type="dcterms:W3CDTF">2026-07-05T07:40:49Z</dcterms:modified>
</cp:coreProperties>
</file>